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4"/>
  </bookViews>
  <sheets>
    <sheet name="总表" sheetId="1" r:id="rId1"/>
    <sheet name="螺纹钢" sheetId="2" r:id="rId2"/>
    <sheet name="PTA" sheetId="3" r:id="rId3"/>
    <sheet name="甲醇" sheetId="9" r:id="rId4"/>
    <sheet name="棉花" sheetId="10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E46" i="10" l="1"/>
  <c r="D46" i="10"/>
  <c r="C46" i="10"/>
  <c r="E46" i="9"/>
  <c r="D46" i="9"/>
  <c r="C46" i="9"/>
  <c r="E46" i="3"/>
  <c r="D46" i="3"/>
  <c r="C46" i="3"/>
  <c r="E46" i="2"/>
  <c r="D46" i="2"/>
  <c r="C46" i="2"/>
  <c r="B46" i="10"/>
  <c r="A46" i="10"/>
  <c r="B46" i="9"/>
  <c r="A46" i="9"/>
  <c r="B46" i="3"/>
  <c r="A46" i="3"/>
  <c r="C2" i="1" l="1"/>
  <c r="B46" i="2"/>
  <c r="A46" i="2"/>
  <c r="H2" i="1"/>
  <c r="F2" i="1"/>
  <c r="D6" i="10" l="1"/>
  <c r="E6" i="10" s="1"/>
  <c r="D2" i="9"/>
  <c r="A6" i="10"/>
  <c r="A7" i="10"/>
  <c r="B6" i="10"/>
  <c r="B7" i="10"/>
  <c r="B5" i="10"/>
  <c r="C7" i="10" l="1"/>
  <c r="D7" i="10" s="1"/>
  <c r="E7" i="10" s="1"/>
  <c r="D6" i="9"/>
  <c r="E6" i="9" s="1"/>
  <c r="A8" i="10"/>
  <c r="A6" i="9"/>
  <c r="B8" i="10"/>
  <c r="B5" i="9"/>
  <c r="B6" i="9"/>
  <c r="C8" i="10" l="1"/>
  <c r="D6" i="3"/>
  <c r="E6" i="3" s="1"/>
  <c r="A9" i="10"/>
  <c r="A7" i="9"/>
  <c r="A8" i="9" s="1"/>
  <c r="A6" i="3"/>
  <c r="A6" i="2"/>
  <c r="A1000" i="2"/>
  <c r="B7" i="9"/>
  <c r="B1000" i="2"/>
  <c r="B9" i="10"/>
  <c r="B5" i="3"/>
  <c r="C7" i="9" l="1"/>
  <c r="D7" i="9" s="1"/>
  <c r="E7" i="9" s="1"/>
  <c r="D8" i="10"/>
  <c r="E8" i="10" s="1"/>
  <c r="C9" i="10"/>
  <c r="A10" i="10"/>
  <c r="A9" i="9"/>
  <c r="A7" i="3"/>
  <c r="A7" i="2"/>
  <c r="E7" i="1"/>
  <c r="E8" i="1"/>
  <c r="E6" i="1"/>
  <c r="B9" i="9"/>
  <c r="J8" i="1"/>
  <c r="J7" i="1"/>
  <c r="B10" i="10"/>
  <c r="B7" i="3"/>
  <c r="B6" i="3"/>
  <c r="B6" i="2"/>
  <c r="B7" i="2"/>
  <c r="B5" i="2"/>
  <c r="J6" i="1"/>
  <c r="B8" i="9"/>
  <c r="J5" i="1"/>
  <c r="C8" i="9" l="1"/>
  <c r="D8" i="9" s="1"/>
  <c r="E8" i="9" s="1"/>
  <c r="C7" i="2"/>
  <c r="D7" i="2" s="1"/>
  <c r="E7" i="2" s="1"/>
  <c r="D6" i="2"/>
  <c r="E6" i="2" s="1"/>
  <c r="C7" i="3"/>
  <c r="D7" i="3" s="1"/>
  <c r="E7" i="3" s="1"/>
  <c r="D9" i="10"/>
  <c r="E9" i="10" s="1"/>
  <c r="C10" i="10"/>
  <c r="A11" i="10"/>
  <c r="A10" i="9"/>
  <c r="A11" i="9"/>
  <c r="A8" i="3"/>
  <c r="A8" i="2"/>
  <c r="E5" i="1"/>
  <c r="B10" i="9"/>
  <c r="B8" i="3"/>
  <c r="B8" i="2"/>
  <c r="B11" i="10"/>
  <c r="C9" i="9" l="1"/>
  <c r="D9" i="9" s="1"/>
  <c r="E9" i="9" s="1"/>
  <c r="C8" i="2"/>
  <c r="C8" i="3"/>
  <c r="D8" i="3" s="1"/>
  <c r="E8" i="3" s="1"/>
  <c r="D10" i="10"/>
  <c r="E10" i="10" s="1"/>
  <c r="C11" i="10"/>
  <c r="A12" i="10"/>
  <c r="A12" i="9"/>
  <c r="A9" i="3"/>
  <c r="A9" i="2"/>
  <c r="B11" i="9"/>
  <c r="B9" i="3"/>
  <c r="B12" i="9"/>
  <c r="A13" i="10"/>
  <c r="B12" i="10"/>
  <c r="A14" i="10"/>
  <c r="B14" i="10" s="1"/>
  <c r="B13" i="10"/>
  <c r="C10" i="9" l="1"/>
  <c r="D10" i="9" s="1"/>
  <c r="E10" i="9" s="1"/>
  <c r="C9" i="3"/>
  <c r="D9" i="3" s="1"/>
  <c r="E9" i="3" s="1"/>
  <c r="D11" i="10"/>
  <c r="E11" i="10" s="1"/>
  <c r="C12" i="10"/>
  <c r="D8" i="2"/>
  <c r="E8" i="2" s="1"/>
  <c r="A15" i="10"/>
  <c r="A13" i="9"/>
  <c r="A14" i="9"/>
  <c r="A10" i="3"/>
  <c r="A10" i="2"/>
  <c r="B10" i="3"/>
  <c r="B14" i="9"/>
  <c r="B15" i="10"/>
  <c r="B13" i="9"/>
  <c r="B9" i="2"/>
  <c r="C11" i="9" l="1"/>
  <c r="D11" i="9" s="1"/>
  <c r="E11" i="9" s="1"/>
  <c r="C9" i="2"/>
  <c r="D9" i="2" s="1"/>
  <c r="E9" i="2" s="1"/>
  <c r="C10" i="3"/>
  <c r="D10" i="3" s="1"/>
  <c r="E10" i="3" s="1"/>
  <c r="D12" i="10"/>
  <c r="E12" i="10" s="1"/>
  <c r="C13" i="10"/>
  <c r="A16" i="10"/>
  <c r="A15" i="9"/>
  <c r="A16" i="9"/>
  <c r="A11" i="3"/>
  <c r="B11" i="3" s="1"/>
  <c r="A12" i="3"/>
  <c r="A11" i="2"/>
  <c r="B16" i="9"/>
  <c r="B15" i="9"/>
  <c r="B10" i="2"/>
  <c r="B16" i="10"/>
  <c r="B11" i="2"/>
  <c r="B12" i="3"/>
  <c r="C12" i="9" l="1"/>
  <c r="D12" i="9" s="1"/>
  <c r="E12" i="9" s="1"/>
  <c r="C10" i="2"/>
  <c r="C11" i="2" s="1"/>
  <c r="C11" i="3"/>
  <c r="D11" i="3" s="1"/>
  <c r="E11" i="3" s="1"/>
  <c r="D13" i="10"/>
  <c r="E13" i="10" s="1"/>
  <c r="C14" i="10"/>
  <c r="A17" i="10"/>
  <c r="A17" i="9"/>
  <c r="A13" i="3"/>
  <c r="A12" i="2"/>
  <c r="A13" i="2" s="1"/>
  <c r="B12" i="2"/>
  <c r="B17" i="10"/>
  <c r="B13" i="2"/>
  <c r="B13" i="3"/>
  <c r="C13" i="9" l="1"/>
  <c r="C14" i="9" s="1"/>
  <c r="C15" i="9" s="1"/>
  <c r="D10" i="2"/>
  <c r="E10" i="2" s="1"/>
  <c r="C12" i="2"/>
  <c r="C13" i="2" s="1"/>
  <c r="C12" i="3"/>
  <c r="D12" i="3" s="1"/>
  <c r="E12" i="3" s="1"/>
  <c r="D14" i="10"/>
  <c r="E14" i="10" s="1"/>
  <c r="C15" i="10"/>
  <c r="A18" i="10"/>
  <c r="A18" i="9"/>
  <c r="A14" i="3"/>
  <c r="A14" i="2"/>
  <c r="B17" i="9"/>
  <c r="B18" i="9"/>
  <c r="B14" i="2"/>
  <c r="B18" i="10"/>
  <c r="B14" i="3"/>
  <c r="A15" i="3"/>
  <c r="A16" i="3"/>
  <c r="B15" i="3"/>
  <c r="B16" i="3"/>
  <c r="D13" i="9" l="1"/>
  <c r="E13" i="9" s="1"/>
  <c r="D14" i="9"/>
  <c r="E14" i="9" s="1"/>
  <c r="C14" i="2"/>
  <c r="C13" i="3"/>
  <c r="D13" i="3" s="1"/>
  <c r="E13" i="3" s="1"/>
  <c r="D11" i="2"/>
  <c r="E11" i="2" s="1"/>
  <c r="D15" i="9"/>
  <c r="E15" i="9" s="1"/>
  <c r="C16" i="9"/>
  <c r="D15" i="10"/>
  <c r="E15" i="10" s="1"/>
  <c r="C16" i="10"/>
  <c r="D12" i="2"/>
  <c r="E12" i="2" s="1"/>
  <c r="A19" i="10"/>
  <c r="A19" i="9"/>
  <c r="A20" i="9" s="1"/>
  <c r="A21" i="9" s="1"/>
  <c r="A17" i="3"/>
  <c r="A15" i="2"/>
  <c r="A16" i="2"/>
  <c r="B19" i="10"/>
  <c r="B21" i="9"/>
  <c r="B20" i="9"/>
  <c r="B15" i="2"/>
  <c r="B19" i="9"/>
  <c r="B17" i="3"/>
  <c r="C15" i="2" l="1"/>
  <c r="C14" i="3"/>
  <c r="D14" i="3" s="1"/>
  <c r="E14" i="3" s="1"/>
  <c r="D16" i="9"/>
  <c r="E16" i="9" s="1"/>
  <c r="C17" i="9"/>
  <c r="D16" i="10"/>
  <c r="E16" i="10" s="1"/>
  <c r="C17" i="10"/>
  <c r="D13" i="2"/>
  <c r="E13" i="2" s="1"/>
  <c r="A20" i="10"/>
  <c r="B20" i="10" s="1"/>
  <c r="A21" i="10"/>
  <c r="A22" i="9"/>
  <c r="A23" i="9"/>
  <c r="A18" i="3"/>
  <c r="A17" i="2"/>
  <c r="B23" i="9"/>
  <c r="B21" i="10"/>
  <c r="B16" i="2"/>
  <c r="B22" i="9"/>
  <c r="B18" i="3"/>
  <c r="A19" i="3"/>
  <c r="B19" i="3"/>
  <c r="A20" i="3"/>
  <c r="B20" i="3"/>
  <c r="A21" i="3"/>
  <c r="B21" i="3" s="1"/>
  <c r="C16" i="2" l="1"/>
  <c r="C15" i="3"/>
  <c r="D15" i="3" s="1"/>
  <c r="E15" i="3" s="1"/>
  <c r="D17" i="9"/>
  <c r="E17" i="9" s="1"/>
  <c r="C18" i="9"/>
  <c r="D17" i="10"/>
  <c r="E17" i="10" s="1"/>
  <c r="C18" i="10"/>
  <c r="D14" i="2"/>
  <c r="E14" i="2" s="1"/>
  <c r="A22" i="10"/>
  <c r="A24" i="9"/>
  <c r="A25" i="9"/>
  <c r="A26" i="9"/>
  <c r="A22" i="3"/>
  <c r="A18" i="2"/>
  <c r="B18" i="2"/>
  <c r="B17" i="2"/>
  <c r="B24" i="9"/>
  <c r="B25" i="9"/>
  <c r="B22" i="10"/>
  <c r="B26" i="9"/>
  <c r="B22" i="3"/>
  <c r="C17" i="2" l="1"/>
  <c r="C18" i="2" s="1"/>
  <c r="C16" i="3"/>
  <c r="D16" i="3" s="1"/>
  <c r="E16" i="3" s="1"/>
  <c r="D18" i="9"/>
  <c r="E18" i="9" s="1"/>
  <c r="C19" i="9"/>
  <c r="D18" i="10"/>
  <c r="E18" i="10" s="1"/>
  <c r="C19" i="10"/>
  <c r="D15" i="2"/>
  <c r="E15" i="2" s="1"/>
  <c r="A23" i="10"/>
  <c r="A24" i="10" s="1"/>
  <c r="A27" i="9"/>
  <c r="A23" i="3"/>
  <c r="A19" i="2"/>
  <c r="B23" i="3"/>
  <c r="B23" i="10"/>
  <c r="B19" i="2"/>
  <c r="B24" i="10"/>
  <c r="A28" i="9"/>
  <c r="B27" i="9"/>
  <c r="A29" i="9"/>
  <c r="B28" i="9"/>
  <c r="A30" i="9"/>
  <c r="B29" i="9"/>
  <c r="B30" i="9"/>
  <c r="A31" i="9"/>
  <c r="A32" i="9"/>
  <c r="B31" i="9"/>
  <c r="A33" i="9"/>
  <c r="B32" i="9"/>
  <c r="A34" i="9"/>
  <c r="B33" i="9"/>
  <c r="A35" i="9"/>
  <c r="B34" i="9"/>
  <c r="B35" i="9"/>
  <c r="A36" i="9"/>
  <c r="A37" i="9"/>
  <c r="B36" i="9"/>
  <c r="A38" i="9"/>
  <c r="B37" i="9"/>
  <c r="A39" i="9"/>
  <c r="B38" i="9"/>
  <c r="A40" i="9"/>
  <c r="B39" i="9"/>
  <c r="A41" i="9"/>
  <c r="B40" i="9"/>
  <c r="B41" i="9"/>
  <c r="A42" i="9"/>
  <c r="A43" i="9"/>
  <c r="B42" i="9"/>
  <c r="A44" i="9"/>
  <c r="B43" i="9"/>
  <c r="B44" i="9"/>
  <c r="A45" i="9"/>
  <c r="B45" i="9" s="1"/>
  <c r="C19" i="2" l="1"/>
  <c r="C17" i="3"/>
  <c r="D17" i="3" s="1"/>
  <c r="E17" i="3" s="1"/>
  <c r="D19" i="9"/>
  <c r="E19" i="9" s="1"/>
  <c r="C20" i="9"/>
  <c r="D19" i="10"/>
  <c r="E19" i="10" s="1"/>
  <c r="C20" i="10"/>
  <c r="D16" i="2"/>
  <c r="E16" i="2" s="1"/>
  <c r="A25" i="10"/>
  <c r="A24" i="3"/>
  <c r="A20" i="2"/>
  <c r="B24" i="3"/>
  <c r="B20" i="2"/>
  <c r="B25" i="10"/>
  <c r="C20" i="2" l="1"/>
  <c r="C18" i="3"/>
  <c r="D18" i="3" s="1"/>
  <c r="E18" i="3" s="1"/>
  <c r="D20" i="9"/>
  <c r="E20" i="9" s="1"/>
  <c r="C21" i="9"/>
  <c r="D20" i="10"/>
  <c r="E20" i="10" s="1"/>
  <c r="C21" i="10"/>
  <c r="D17" i="2"/>
  <c r="E17" i="2" s="1"/>
  <c r="A26" i="10"/>
  <c r="A25" i="3"/>
  <c r="A26" i="3" s="1"/>
  <c r="A27" i="3" s="1"/>
  <c r="A28" i="3" s="1"/>
  <c r="A21" i="2"/>
  <c r="B21" i="2" s="1"/>
  <c r="A22" i="2"/>
  <c r="A23" i="2" s="1"/>
  <c r="B22" i="2"/>
  <c r="B27" i="3"/>
  <c r="B25" i="3"/>
  <c r="B23" i="2"/>
  <c r="B26" i="3"/>
  <c r="B26" i="10"/>
  <c r="A29" i="3"/>
  <c r="B28" i="3"/>
  <c r="A30" i="3"/>
  <c r="B29" i="3"/>
  <c r="B30" i="3"/>
  <c r="A31" i="3"/>
  <c r="A32" i="3"/>
  <c r="B31" i="3"/>
  <c r="A33" i="3"/>
  <c r="B32" i="3"/>
  <c r="A34" i="3"/>
  <c r="B33" i="3"/>
  <c r="A35" i="3"/>
  <c r="B34" i="3"/>
  <c r="B35" i="3"/>
  <c r="A36" i="3"/>
  <c r="A37" i="3"/>
  <c r="B36" i="3"/>
  <c r="A38" i="3"/>
  <c r="B37" i="3"/>
  <c r="A39" i="3"/>
  <c r="B38" i="3"/>
  <c r="A40" i="3"/>
  <c r="B39" i="3"/>
  <c r="A41" i="3"/>
  <c r="B40" i="3"/>
  <c r="B41" i="3"/>
  <c r="A42" i="3"/>
  <c r="A43" i="3"/>
  <c r="B42" i="3"/>
  <c r="A44" i="3"/>
  <c r="B43" i="3"/>
  <c r="B44" i="3"/>
  <c r="A45" i="3"/>
  <c r="B45" i="3" s="1"/>
  <c r="C21" i="2" l="1"/>
  <c r="C22" i="2" s="1"/>
  <c r="C23" i="2" s="1"/>
  <c r="C19" i="3"/>
  <c r="D19" i="3" s="1"/>
  <c r="E19" i="3" s="1"/>
  <c r="D21" i="9"/>
  <c r="E21" i="9" s="1"/>
  <c r="C22" i="9"/>
  <c r="D21" i="10"/>
  <c r="E21" i="10" s="1"/>
  <c r="C22" i="10"/>
  <c r="D18" i="2"/>
  <c r="E18" i="2" s="1"/>
  <c r="A27" i="10"/>
  <c r="A24" i="2"/>
  <c r="B24" i="2"/>
  <c r="A28" i="10"/>
  <c r="B27" i="10"/>
  <c r="A29" i="10"/>
  <c r="B28" i="10"/>
  <c r="A30" i="10"/>
  <c r="B29" i="10"/>
  <c r="B30" i="10"/>
  <c r="A31" i="10"/>
  <c r="A32" i="10"/>
  <c r="B31" i="10"/>
  <c r="A33" i="10"/>
  <c r="B32" i="10"/>
  <c r="A34" i="10"/>
  <c r="B33" i="10"/>
  <c r="A35" i="10"/>
  <c r="B34" i="10"/>
  <c r="B35" i="10"/>
  <c r="A36" i="10"/>
  <c r="A37" i="10"/>
  <c r="B36" i="10"/>
  <c r="A38" i="10"/>
  <c r="B37" i="10"/>
  <c r="A39" i="10"/>
  <c r="B38" i="10"/>
  <c r="A40" i="10"/>
  <c r="B39" i="10"/>
  <c r="A41" i="10"/>
  <c r="B40" i="10"/>
  <c r="B41" i="10"/>
  <c r="A42" i="10"/>
  <c r="A43" i="10"/>
  <c r="B42" i="10"/>
  <c r="A44" i="10"/>
  <c r="B43" i="10"/>
  <c r="B44" i="10"/>
  <c r="A45" i="10"/>
  <c r="B45" i="10" s="1"/>
  <c r="C24" i="2" l="1"/>
  <c r="C20" i="3"/>
  <c r="D20" i="3" s="1"/>
  <c r="E20" i="3" s="1"/>
  <c r="D22" i="9"/>
  <c r="E22" i="9" s="1"/>
  <c r="C23" i="9"/>
  <c r="D22" i="10"/>
  <c r="E22" i="10" s="1"/>
  <c r="C23" i="10"/>
  <c r="D19" i="2"/>
  <c r="E19" i="2" s="1"/>
  <c r="A25" i="2"/>
  <c r="A26" i="2" s="1"/>
  <c r="B26" i="2"/>
  <c r="B25" i="2"/>
  <c r="C25" i="2" l="1"/>
  <c r="D25" i="2" s="1"/>
  <c r="E25" i="2" s="1"/>
  <c r="C21" i="3"/>
  <c r="C22" i="3" s="1"/>
  <c r="C23" i="3" s="1"/>
  <c r="C24" i="3" s="1"/>
  <c r="C24" i="10"/>
  <c r="D23" i="9"/>
  <c r="E23" i="9" s="1"/>
  <c r="C24" i="9"/>
  <c r="D23" i="10"/>
  <c r="D20" i="2"/>
  <c r="E20" i="2" s="1"/>
  <c r="A27" i="2"/>
  <c r="A28" i="2"/>
  <c r="B27" i="2"/>
  <c r="A29" i="2"/>
  <c r="B28" i="2"/>
  <c r="A30" i="2"/>
  <c r="B29" i="2"/>
  <c r="B30" i="2"/>
  <c r="A31" i="2"/>
  <c r="A32" i="2"/>
  <c r="B31" i="2"/>
  <c r="A33" i="2"/>
  <c r="B32" i="2"/>
  <c r="A34" i="2"/>
  <c r="B33" i="2"/>
  <c r="A35" i="2"/>
  <c r="B34" i="2"/>
  <c r="B35" i="2"/>
  <c r="A36" i="2"/>
  <c r="A37" i="2"/>
  <c r="B36" i="2"/>
  <c r="A38" i="2"/>
  <c r="B37" i="2"/>
  <c r="A39" i="2"/>
  <c r="B38" i="2"/>
  <c r="A40" i="2"/>
  <c r="B39" i="2"/>
  <c r="A41" i="2"/>
  <c r="B40" i="2"/>
  <c r="B41" i="2"/>
  <c r="A42" i="2"/>
  <c r="A43" i="2"/>
  <c r="B42" i="2"/>
  <c r="A44" i="2"/>
  <c r="B43" i="2"/>
  <c r="B44" i="2"/>
  <c r="A45" i="2"/>
  <c r="B45" i="2" s="1"/>
  <c r="C26" i="2" l="1"/>
  <c r="D21" i="3"/>
  <c r="E21" i="3" s="1"/>
  <c r="D24" i="10"/>
  <c r="E24" i="10" s="1"/>
  <c r="C25" i="10"/>
  <c r="C26" i="10" s="1"/>
  <c r="D24" i="9"/>
  <c r="E24" i="9" s="1"/>
  <c r="C25" i="9"/>
  <c r="C26" i="9" s="1"/>
  <c r="D24" i="3"/>
  <c r="E24" i="3" s="1"/>
  <c r="C25" i="3"/>
  <c r="E23" i="10"/>
  <c r="D22" i="3"/>
  <c r="E22" i="3" s="1"/>
  <c r="D21" i="2"/>
  <c r="E21" i="2" s="1"/>
  <c r="D24" i="2"/>
  <c r="E24" i="2" s="1"/>
  <c r="D26" i="9" l="1"/>
  <c r="E26" i="9" s="1"/>
  <c r="C27" i="9"/>
  <c r="D26" i="10"/>
  <c r="E26" i="10" s="1"/>
  <c r="C27" i="10"/>
  <c r="D26" i="2"/>
  <c r="E26" i="2" s="1"/>
  <c r="C27" i="2"/>
  <c r="D25" i="3"/>
  <c r="E25" i="3" s="1"/>
  <c r="C26" i="3"/>
  <c r="D25" i="10"/>
  <c r="E25" i="10" s="1"/>
  <c r="D25" i="9"/>
  <c r="E25" i="9" s="1"/>
  <c r="D23" i="3"/>
  <c r="D22" i="2"/>
  <c r="E22" i="2" s="1"/>
  <c r="D27" i="10" l="1"/>
  <c r="E27" i="10" s="1"/>
  <c r="D8" i="1" s="1"/>
  <c r="C28" i="10"/>
  <c r="D27" i="2"/>
  <c r="E27" i="2" s="1"/>
  <c r="C28" i="2"/>
  <c r="D27" i="9"/>
  <c r="E27" i="9" s="1"/>
  <c r="D7" i="1" s="1"/>
  <c r="C28" i="9"/>
  <c r="F7" i="1"/>
  <c r="G7" i="1"/>
  <c r="G5" i="1"/>
  <c r="F8" i="1"/>
  <c r="G8" i="1"/>
  <c r="C27" i="3"/>
  <c r="D26" i="3"/>
  <c r="E26" i="3" s="1"/>
  <c r="E23" i="3"/>
  <c r="D23" i="2"/>
  <c r="E23" i="2" s="1"/>
  <c r="D28" i="2" l="1"/>
  <c r="E28" i="2" s="1"/>
  <c r="C29" i="2"/>
  <c r="D28" i="9"/>
  <c r="E28" i="9" s="1"/>
  <c r="C29" i="9"/>
  <c r="D28" i="10"/>
  <c r="E28" i="10" s="1"/>
  <c r="C29" i="10"/>
  <c r="D27" i="3"/>
  <c r="E27" i="3" s="1"/>
  <c r="C28" i="3"/>
  <c r="G6" i="1"/>
  <c r="F6" i="1"/>
  <c r="D6" i="1"/>
  <c r="F5" i="1"/>
  <c r="D5" i="1"/>
  <c r="D29" i="9" l="1"/>
  <c r="E29" i="9" s="1"/>
  <c r="C30" i="9"/>
  <c r="D29" i="10"/>
  <c r="E29" i="10" s="1"/>
  <c r="C30" i="10"/>
  <c r="D29" i="2"/>
  <c r="E29" i="2" s="1"/>
  <c r="C30" i="2"/>
  <c r="D28" i="3"/>
  <c r="E28" i="3" s="1"/>
  <c r="C29" i="3"/>
  <c r="D30" i="10" l="1"/>
  <c r="E30" i="10" s="1"/>
  <c r="C31" i="10"/>
  <c r="D29" i="3"/>
  <c r="E29" i="3" s="1"/>
  <c r="C30" i="3"/>
  <c r="D30" i="2"/>
  <c r="E30" i="2" s="1"/>
  <c r="C31" i="2"/>
  <c r="D30" i="9"/>
  <c r="E30" i="9" s="1"/>
  <c r="C31" i="9"/>
  <c r="D31" i="9" l="1"/>
  <c r="E31" i="9" s="1"/>
  <c r="C32" i="9"/>
  <c r="D31" i="10"/>
  <c r="E31" i="10" s="1"/>
  <c r="C32" i="10"/>
  <c r="D31" i="2"/>
  <c r="E31" i="2" s="1"/>
  <c r="C32" i="2"/>
  <c r="D30" i="3"/>
  <c r="E30" i="3" s="1"/>
  <c r="C31" i="3"/>
  <c r="D32" i="10" l="1"/>
  <c r="E32" i="10" s="1"/>
  <c r="C33" i="10"/>
  <c r="D32" i="9"/>
  <c r="E32" i="9" s="1"/>
  <c r="C33" i="9"/>
  <c r="D32" i="2"/>
  <c r="E32" i="2" s="1"/>
  <c r="C33" i="2"/>
  <c r="D31" i="3"/>
  <c r="E31" i="3" s="1"/>
  <c r="C32" i="3"/>
  <c r="D33" i="9" l="1"/>
  <c r="E33" i="9" s="1"/>
  <c r="C34" i="9"/>
  <c r="D33" i="2"/>
  <c r="E33" i="2" s="1"/>
  <c r="C34" i="2"/>
  <c r="D33" i="10"/>
  <c r="E33" i="10" s="1"/>
  <c r="C34" i="10"/>
  <c r="D32" i="3"/>
  <c r="E32" i="3" s="1"/>
  <c r="C33" i="3"/>
  <c r="D34" i="9" l="1"/>
  <c r="E34" i="9" s="1"/>
  <c r="C35" i="9"/>
  <c r="D34" i="2"/>
  <c r="E34" i="2" s="1"/>
  <c r="C35" i="2"/>
  <c r="D34" i="10"/>
  <c r="E34" i="10" s="1"/>
  <c r="C35" i="10"/>
  <c r="D33" i="3"/>
  <c r="E33" i="3" s="1"/>
  <c r="C34" i="3"/>
  <c r="D35" i="2" l="1"/>
  <c r="E35" i="2" s="1"/>
  <c r="C36" i="2"/>
  <c r="D35" i="9"/>
  <c r="E35" i="9" s="1"/>
  <c r="C36" i="9"/>
  <c r="D34" i="3"/>
  <c r="E34" i="3" s="1"/>
  <c r="C35" i="3"/>
  <c r="D35" i="10"/>
  <c r="E35" i="10" s="1"/>
  <c r="C36" i="10"/>
  <c r="D36" i="9" l="1"/>
  <c r="E36" i="9" s="1"/>
  <c r="C37" i="9"/>
  <c r="D36" i="10"/>
  <c r="E36" i="10" s="1"/>
  <c r="C37" i="10"/>
  <c r="D36" i="2"/>
  <c r="E36" i="2" s="1"/>
  <c r="C37" i="2"/>
  <c r="D35" i="3"/>
  <c r="E35" i="3" s="1"/>
  <c r="C36" i="3"/>
  <c r="D37" i="2" l="1"/>
  <c r="E37" i="2" s="1"/>
  <c r="C38" i="2"/>
  <c r="D37" i="10"/>
  <c r="E37" i="10" s="1"/>
  <c r="C38" i="10"/>
  <c r="D37" i="9"/>
  <c r="E37" i="9" s="1"/>
  <c r="C38" i="9"/>
  <c r="D36" i="3"/>
  <c r="E36" i="3" s="1"/>
  <c r="C37" i="3"/>
  <c r="D38" i="10" l="1"/>
  <c r="E38" i="10" s="1"/>
  <c r="C39" i="10"/>
  <c r="D38" i="9"/>
  <c r="E38" i="9" s="1"/>
  <c r="C39" i="9"/>
  <c r="D38" i="2"/>
  <c r="E38" i="2" s="1"/>
  <c r="C39" i="2"/>
  <c r="D37" i="3"/>
  <c r="E37" i="3" s="1"/>
  <c r="C38" i="3"/>
  <c r="D39" i="2" l="1"/>
  <c r="E39" i="2" s="1"/>
  <c r="C40" i="2"/>
  <c r="D39" i="9"/>
  <c r="E39" i="9" s="1"/>
  <c r="C40" i="9"/>
  <c r="D39" i="10"/>
  <c r="E39" i="10" s="1"/>
  <c r="C40" i="10"/>
  <c r="D38" i="3"/>
  <c r="E38" i="3" s="1"/>
  <c r="C39" i="3"/>
  <c r="D40" i="9" l="1"/>
  <c r="E40" i="9" s="1"/>
  <c r="C41" i="9"/>
  <c r="D40" i="2"/>
  <c r="E40" i="2" s="1"/>
  <c r="C41" i="2"/>
  <c r="D40" i="10"/>
  <c r="E40" i="10" s="1"/>
  <c r="C41" i="10"/>
  <c r="D39" i="3"/>
  <c r="E39" i="3" s="1"/>
  <c r="C40" i="3"/>
  <c r="D41" i="2" l="1"/>
  <c r="E41" i="2" s="1"/>
  <c r="C42" i="2"/>
  <c r="D40" i="3"/>
  <c r="E40" i="3" s="1"/>
  <c r="C41" i="3"/>
  <c r="D41" i="9"/>
  <c r="E41" i="9" s="1"/>
  <c r="C42" i="9"/>
  <c r="D41" i="10"/>
  <c r="E41" i="10" s="1"/>
  <c r="C42" i="10"/>
  <c r="D42" i="10" l="1"/>
  <c r="E42" i="10" s="1"/>
  <c r="C43" i="10"/>
  <c r="D42" i="9"/>
  <c r="E42" i="9" s="1"/>
  <c r="C43" i="9"/>
  <c r="D42" i="2"/>
  <c r="E42" i="2" s="1"/>
  <c r="C43" i="2"/>
  <c r="D41" i="3"/>
  <c r="E41" i="3" s="1"/>
  <c r="C42" i="3"/>
  <c r="D43" i="9" l="1"/>
  <c r="E43" i="9" s="1"/>
  <c r="C44" i="9"/>
  <c r="D43" i="2"/>
  <c r="E43" i="2" s="1"/>
  <c r="C44" i="2"/>
  <c r="D43" i="10"/>
  <c r="E43" i="10" s="1"/>
  <c r="C44" i="10"/>
  <c r="D42" i="3"/>
  <c r="E42" i="3" s="1"/>
  <c r="C43" i="3"/>
  <c r="D44" i="2" l="1"/>
  <c r="E44" i="2" s="1"/>
  <c r="C45" i="2"/>
  <c r="D43" i="3"/>
  <c r="E43" i="3" s="1"/>
  <c r="C44" i="3"/>
  <c r="D44" i="9"/>
  <c r="E44" i="9" s="1"/>
  <c r="C45" i="9"/>
  <c r="D44" i="10"/>
  <c r="E44" i="10" s="1"/>
  <c r="C45" i="10"/>
  <c r="D45" i="10" l="1"/>
  <c r="E45" i="10" s="1"/>
  <c r="I8" i="1"/>
  <c r="C8" i="1" s="1"/>
  <c r="D44" i="3"/>
  <c r="E44" i="3" s="1"/>
  <c r="C45" i="3"/>
  <c r="D45" i="9"/>
  <c r="E45" i="9" s="1"/>
  <c r="I7" i="1"/>
  <c r="C7" i="1" s="1"/>
  <c r="D45" i="2"/>
  <c r="E45" i="2" s="1"/>
  <c r="I5" i="1"/>
  <c r="C5" i="1" s="1"/>
  <c r="D45" i="3" l="1"/>
  <c r="E45" i="3" s="1"/>
  <c r="I6" i="1"/>
  <c r="C6" i="1" s="1"/>
</calcChain>
</file>

<file path=xl/sharedStrings.xml><?xml version="1.0" encoding="utf-8"?>
<sst xmlns="http://schemas.openxmlformats.org/spreadsheetml/2006/main" count="60" uniqueCount="36">
  <si>
    <t>螺纹钢</t>
    <phoneticPr fontId="1" type="noConversion"/>
  </si>
  <si>
    <t>前日收盘价</t>
    <phoneticPr fontId="1" type="noConversion"/>
  </si>
  <si>
    <t>当前仓位方向</t>
    <phoneticPr fontId="1" type="noConversion"/>
  </si>
  <si>
    <t>当日转向预期收盘价</t>
    <phoneticPr fontId="1" type="noConversion"/>
  </si>
  <si>
    <t>当前日期</t>
    <phoneticPr fontId="1" type="noConversion"/>
  </si>
  <si>
    <t>d</t>
    <phoneticPr fontId="2" type="noConversion"/>
  </si>
  <si>
    <t>alpha</t>
    <phoneticPr fontId="2" type="noConversion"/>
  </si>
  <si>
    <t xml:space="preserve">      时间</t>
  </si>
  <si>
    <t xml:space="preserve">    收盘</t>
  </si>
  <si>
    <t>LLT</t>
    <phoneticPr fontId="2" type="noConversion"/>
  </si>
  <si>
    <t>差分值（向前）</t>
    <phoneticPr fontId="2" type="noConversion"/>
  </si>
  <si>
    <t>前日日期</t>
    <phoneticPr fontId="1" type="noConversion"/>
  </si>
  <si>
    <t xml:space="preserve"> 2016/12/01</t>
  </si>
  <si>
    <t>仓位方向</t>
    <phoneticPr fontId="1" type="noConversion"/>
  </si>
  <si>
    <t>前日差分值</t>
    <phoneticPr fontId="1" type="noConversion"/>
  </si>
  <si>
    <t>前日LLT值</t>
    <phoneticPr fontId="1" type="noConversion"/>
  </si>
  <si>
    <t>次前日日期</t>
    <phoneticPr fontId="1" type="noConversion"/>
  </si>
  <si>
    <t>代码</t>
    <phoneticPr fontId="1" type="noConversion"/>
  </si>
  <si>
    <t>合约</t>
    <phoneticPr fontId="1" type="noConversion"/>
  </si>
  <si>
    <t>PTA</t>
    <phoneticPr fontId="1" type="noConversion"/>
  </si>
  <si>
    <t>TA.CZC</t>
    <phoneticPr fontId="2" type="noConversion"/>
  </si>
  <si>
    <t>TA.CZC</t>
    <phoneticPr fontId="1" type="noConversion"/>
  </si>
  <si>
    <t xml:space="preserve">                 PTA</t>
    <phoneticPr fontId="1" type="noConversion"/>
  </si>
  <si>
    <t xml:space="preserve">                甲醇期货</t>
    <phoneticPr fontId="1" type="noConversion"/>
  </si>
  <si>
    <t>MA.CZC</t>
    <phoneticPr fontId="2" type="noConversion"/>
  </si>
  <si>
    <t>甲醇</t>
    <phoneticPr fontId="1" type="noConversion"/>
  </si>
  <si>
    <t>MA.CZC</t>
    <phoneticPr fontId="1" type="noConversion"/>
  </si>
  <si>
    <t xml:space="preserve">                棉花期货</t>
    <phoneticPr fontId="1" type="noConversion"/>
  </si>
  <si>
    <t>CF.CZC</t>
    <phoneticPr fontId="2" type="noConversion"/>
  </si>
  <si>
    <t>棉花</t>
    <phoneticPr fontId="1" type="noConversion"/>
  </si>
  <si>
    <t>CF.CZC</t>
    <phoneticPr fontId="1" type="noConversion"/>
  </si>
  <si>
    <t>此前日收盘价</t>
    <phoneticPr fontId="1" type="noConversion"/>
  </si>
  <si>
    <t>次前日LLT值</t>
    <phoneticPr fontId="1" type="noConversion"/>
  </si>
  <si>
    <t>RB.SHF</t>
    <phoneticPr fontId="1" type="noConversion"/>
  </si>
  <si>
    <t>RB.SHF</t>
    <phoneticPr fontId="2" type="noConversion"/>
  </si>
  <si>
    <t xml:space="preserve">              螺纹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</si>
</sst>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theme="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14" fontId="0" fillId="0" borderId="0" xfId="0" applyNumberFormat="1" applyAlignment="1">
      <alignment horizontal="center"/>
    </xf>
    <xf numFmtId="0" fontId="0" fillId="0" borderId="0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5" fillId="4" borderId="13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0" fontId="7" fillId="0" borderId="0" xfId="0" applyFont="1"/>
    <xf numFmtId="0" fontId="0" fillId="0" borderId="0" xfId="0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8" xfId="0" applyFill="1" applyBorder="1"/>
    <xf numFmtId="0" fontId="0" fillId="5" borderId="10" xfId="0" applyFill="1" applyBorder="1"/>
    <xf numFmtId="0" fontId="0" fillId="0" borderId="9" xfId="0" applyBorder="1" applyAlignment="1">
      <alignment horizontal="center"/>
    </xf>
    <xf numFmtId="0" fontId="0" fillId="6" borderId="0" xfId="0" applyFill="1" applyBorder="1"/>
    <xf numFmtId="0" fontId="0" fillId="6" borderId="11" xfId="0" applyFill="1" applyBorder="1"/>
    <xf numFmtId="0" fontId="3" fillId="2" borderId="2" xfId="0" applyFont="1" applyFill="1" applyBorder="1" applyAlignment="1">
      <alignment horizontal="left" vertical="center"/>
    </xf>
    <xf numFmtId="14" fontId="0" fillId="0" borderId="0" xfId="0" applyNumberFormat="1"/>
    <xf numFmtId="0" fontId="3" fillId="2" borderId="2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vertical="center"/>
    </xf>
    <xf numFmtId="0" fontId="5" fillId="4" borderId="17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5" fillId="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1" fontId="0" fillId="6" borderId="0" xfId="0" applyNumberFormat="1" applyFill="1" applyBorder="1"/>
    <xf numFmtId="0" fontId="0" fillId="6" borderId="0" xfId="0" applyNumberFormat="1" applyFill="1" applyBorder="1" applyAlignment="1">
      <alignment horizontal="center" vertical="center"/>
    </xf>
    <xf numFmtId="0" fontId="4" fillId="2" borderId="22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right" vertical="center"/>
    </xf>
    <xf numFmtId="0" fontId="3" fillId="2" borderId="3" xfId="0" applyFont="1" applyFill="1" applyBorder="1" applyAlignment="1">
      <alignment horizontal="right" vertical="center"/>
    </xf>
    <xf numFmtId="0" fontId="3" fillId="2" borderId="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4" fillId="2" borderId="5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</xdr:row>
      <xdr:rowOff>76201</xdr:rowOff>
    </xdr:from>
    <xdr:to>
      <xdr:col>0</xdr:col>
      <xdr:colOff>514351</xdr:colOff>
      <xdr:row>5</xdr:row>
      <xdr:rowOff>104776</xdr:rowOff>
    </xdr:to>
    <xdr:sp macro="[0]!update" textlink="">
      <xdr:nvSpPr>
        <xdr:cNvPr id="2" name="矩形 1"/>
        <xdr:cNvSpPr/>
      </xdr:nvSpPr>
      <xdr:spPr>
        <a:xfrm>
          <a:off x="133351" y="257176"/>
          <a:ext cx="381000" cy="8191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pplication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J21"/>
  <sheetViews>
    <sheetView workbookViewId="0">
      <selection activeCell="C8" sqref="C8"/>
    </sheetView>
  </sheetViews>
  <sheetFormatPr defaultRowHeight="13.5"/>
  <cols>
    <col min="2" max="2" width="11.625" customWidth="1"/>
    <col min="3" max="3" width="18.625" customWidth="1"/>
    <col min="4" max="4" width="13" bestFit="1" customWidth="1"/>
    <col min="5" max="5" width="13.375" customWidth="1"/>
    <col min="6" max="6" width="18.625" customWidth="1"/>
    <col min="7" max="7" width="19.125" customWidth="1"/>
    <col min="8" max="8" width="18.25" customWidth="1"/>
    <col min="9" max="9" width="12.75" bestFit="1" customWidth="1"/>
    <col min="10" max="10" width="11.375" bestFit="1" customWidth="1"/>
  </cols>
  <sheetData>
    <row r="1" spans="2:10" ht="14.25" thickBot="1"/>
    <row r="2" spans="2:10" ht="17.25" thickBot="1">
      <c r="B2" s="19" t="s">
        <v>4</v>
      </c>
      <c r="C2" s="20">
        <f ca="1">TODAY()</f>
        <v>42773</v>
      </c>
      <c r="D2" s="21"/>
      <c r="E2" s="19" t="s">
        <v>11</v>
      </c>
      <c r="F2" s="20">
        <f ca="1">GetBusinessDay(C2,-1)</f>
        <v>42772</v>
      </c>
      <c r="G2" s="19" t="s">
        <v>16</v>
      </c>
      <c r="H2" s="20">
        <f ca="1">GetBusinessDay(C2,-2)</f>
        <v>42769</v>
      </c>
    </row>
    <row r="3" spans="2:10" ht="14.25" thickBot="1"/>
    <row r="4" spans="2:10" ht="17.25" thickBot="1">
      <c r="B4" s="16" t="s">
        <v>18</v>
      </c>
      <c r="C4" s="17" t="s">
        <v>3</v>
      </c>
      <c r="D4" s="17" t="s">
        <v>2</v>
      </c>
      <c r="E4" s="17" t="s">
        <v>1</v>
      </c>
      <c r="F4" s="17" t="s">
        <v>14</v>
      </c>
      <c r="G4" s="18" t="s">
        <v>15</v>
      </c>
      <c r="H4" s="38" t="s">
        <v>17</v>
      </c>
      <c r="I4" s="34" t="s">
        <v>32</v>
      </c>
      <c r="J4" s="23" t="s">
        <v>31</v>
      </c>
    </row>
    <row r="5" spans="2:10">
      <c r="B5" s="24" t="s">
        <v>0</v>
      </c>
      <c r="C5" s="41">
        <f ca="1">((螺纹钢!$D$2-3*螺纹钢!$D$2^2/4)*J5-螺纹钢!$D$2^2*E5/2+(1-螺纹钢!$D$2)^2*I5+(2*螺纹钢!$D$2-1)*G5)/(螺纹钢!$D$2-螺纹钢!$D$2^2/4)</f>
        <v>3332.733043473545</v>
      </c>
      <c r="D5" s="22">
        <f ca="1">VLOOKUP(F2,螺纹钢!A5:E356,5,FALSE)</f>
        <v>-1</v>
      </c>
      <c r="E5" s="22">
        <f ca="1">[1]!S_DQ_CLOSE(H5,$F$2)</f>
        <v>3082</v>
      </c>
      <c r="F5" s="22">
        <f ca="1">VLOOKUP(F2,螺纹钢!A5:E356,4,FALSE)</f>
        <v>-16.444730788077777</v>
      </c>
      <c r="G5" s="22">
        <f ca="1">VLOOKUP($F$2,螺纹钢!$A$5:$E$356,3,FALSE)</f>
        <v>3249.3597709650439</v>
      </c>
      <c r="H5" s="39" t="s">
        <v>33</v>
      </c>
      <c r="I5" s="22">
        <f ca="1">VLOOKUP($H$2,螺纹钢!$A$5:$E$356,3,FALSE)</f>
        <v>3265.8045017531217</v>
      </c>
      <c r="J5" s="27">
        <f ca="1">[1]!S_DQ_CLOSE(H5,$H$2)</f>
        <v>3113</v>
      </c>
    </row>
    <row r="6" spans="2:10">
      <c r="B6" s="24" t="s">
        <v>19</v>
      </c>
      <c r="C6" s="41">
        <f ca="1">((PTA!$D$2-3*PTA!$D$2^2/4)*J6-PTA!$D$2^2*E6/2+(1-PTA!$D$2)^2*I6+(2*PTA!$D$2-1)*G6)/(PTA!$D$2-PTA!$D$2^2/4)</f>
        <v>5378.6795495535407</v>
      </c>
      <c r="D6" s="22">
        <f ca="1">VLOOKUP($F$2,PTA!$A$6:$E$357,5,FALSE)</f>
        <v>1</v>
      </c>
      <c r="E6" s="22">
        <f ca="1">[1]!S_DQ_CLOSE(H6,$F$2)</f>
        <v>5784</v>
      </c>
      <c r="F6" s="22">
        <f ca="1">VLOOKUP($F$2,PTA!$A$6:$E$357,4,FALSE)</f>
        <v>38.859001100661771</v>
      </c>
      <c r="G6" s="22">
        <f ca="1">VLOOKUP($F$2,PTA!$A$5:$E$356,3,FALSE)</f>
        <v>5631.1905780286925</v>
      </c>
      <c r="H6" s="35" t="s">
        <v>21</v>
      </c>
      <c r="I6" s="22">
        <f ca="1">VLOOKUP($H$2,PTA!$A$5:$E$356,3,FALSE)</f>
        <v>5592.3315769280307</v>
      </c>
      <c r="J6" s="27">
        <f ca="1">[1]!S_DQ_CLOSE(H6,$H$2)</f>
        <v>5652</v>
      </c>
    </row>
    <row r="7" spans="2:10">
      <c r="B7" s="24" t="s">
        <v>25</v>
      </c>
      <c r="C7" s="41">
        <f ca="1">((甲醇!$D$2-3*甲醇!$D$2^2/4)*J7-甲醇!$D$2^2*E7/2+(1-甲醇!$D$2)^2*I7+(2*甲醇!$D$2-1)*G7)/(甲醇!$D$2-甲醇!$D$2^2/4)</f>
        <v>2916.9769835201364</v>
      </c>
      <c r="D7" s="22">
        <f ca="1">VLOOKUP($F$2,甲醇!$A$6:$E$357,5,FALSE)</f>
        <v>1</v>
      </c>
      <c r="E7" s="22">
        <f ca="1">[1]!S_DQ_CLOSE(H7,$F$2)</f>
        <v>2929</v>
      </c>
      <c r="F7" s="22">
        <f ca="1">VLOOKUP($F$2,甲醇!$A$6:$E$357,4,FALSE)</f>
        <v>10.341077026671428</v>
      </c>
      <c r="G7" s="22">
        <f ca="1">VLOOKUP($F$2,甲醇!$A$5:$E$356,3,FALSE)</f>
        <v>2923.3899435225903</v>
      </c>
      <c r="H7" s="35" t="s">
        <v>26</v>
      </c>
      <c r="I7" s="22">
        <f ca="1">VLOOKUP($H$2,甲醇!$A$5:$E$356,3,FALSE)</f>
        <v>2913.0488664959189</v>
      </c>
      <c r="J7" s="27">
        <f ca="1">[1]!S_DQ_CLOSE(H7,$H$2)</f>
        <v>2915</v>
      </c>
    </row>
    <row r="8" spans="2:10">
      <c r="B8" s="24" t="s">
        <v>29</v>
      </c>
      <c r="C8" s="41">
        <f ca="1">((棉花!$D$2-3*棉花!$D$2^2/4)*J8-棉花!$D$2^2*E8/2+(1-棉花!$D$2)^2*I8+(2*棉花!$D$2-1)*G8)/(棉花!$D$2-棉花!$D$2^2/4)</f>
        <v>14818.927004020483</v>
      </c>
      <c r="D8" s="22">
        <f ca="1">VLOOKUP($F$2,棉花!$A$6:$E$357,5,FALSE)</f>
        <v>1</v>
      </c>
      <c r="E8" s="22">
        <f ca="1">[1]!S_DQ_CLOSE(H8,$F$2)</f>
        <v>16075</v>
      </c>
      <c r="F8" s="22">
        <f ca="1">VLOOKUP($F$2,棉花!$A$6:$E$357,4,FALSE)</f>
        <v>50.810170054473929</v>
      </c>
      <c r="G8" s="22">
        <f ca="1">VLOOKUP($F$2,棉花!$A$5:$E$356,3,FALSE)</f>
        <v>15494.428794340924</v>
      </c>
      <c r="H8" s="35" t="s">
        <v>30</v>
      </c>
      <c r="I8" s="22">
        <f ca="1">VLOOKUP($H$2,棉花!$A$5:$E$356,3,FALSE)</f>
        <v>15443.61862428645</v>
      </c>
      <c r="J8" s="27">
        <f ca="1">[1]!S_DQ_CLOSE(H8,$H$2)</f>
        <v>15965</v>
      </c>
    </row>
    <row r="9" spans="2:10">
      <c r="B9" s="25"/>
      <c r="C9" s="28"/>
      <c r="D9" s="12"/>
      <c r="E9" s="12"/>
      <c r="F9" s="12"/>
      <c r="G9" s="12"/>
      <c r="H9" s="36"/>
      <c r="I9" s="12"/>
      <c r="J9" s="13"/>
    </row>
    <row r="10" spans="2:10">
      <c r="B10" s="25"/>
      <c r="C10" s="28"/>
      <c r="D10" s="12"/>
      <c r="E10" s="12"/>
      <c r="F10" s="12"/>
      <c r="G10" s="12"/>
      <c r="H10" s="36"/>
      <c r="I10" s="12"/>
      <c r="J10" s="13"/>
    </row>
    <row r="11" spans="2:10">
      <c r="B11" s="25"/>
      <c r="C11" s="40"/>
      <c r="D11" s="12"/>
      <c r="E11" s="12"/>
      <c r="F11" s="12"/>
      <c r="G11" s="12"/>
      <c r="H11" s="36"/>
      <c r="I11" s="12"/>
      <c r="J11" s="13"/>
    </row>
    <row r="12" spans="2:10">
      <c r="B12" s="25"/>
      <c r="C12" s="28"/>
      <c r="D12" s="12"/>
      <c r="E12" s="12"/>
      <c r="F12" s="12"/>
      <c r="G12" s="12"/>
      <c r="H12" s="36"/>
      <c r="I12" s="12"/>
      <c r="J12" s="13"/>
    </row>
    <row r="13" spans="2:10">
      <c r="B13" s="25"/>
      <c r="C13" s="28"/>
      <c r="D13" s="12"/>
      <c r="E13" s="12"/>
      <c r="F13" s="12"/>
      <c r="G13" s="12"/>
      <c r="H13" s="36"/>
      <c r="I13" s="12"/>
      <c r="J13" s="13"/>
    </row>
    <row r="14" spans="2:10">
      <c r="B14" s="25"/>
      <c r="C14" s="28"/>
      <c r="D14" s="12"/>
      <c r="E14" s="12"/>
      <c r="F14" s="12"/>
      <c r="G14" s="12"/>
      <c r="H14" s="36"/>
      <c r="I14" s="12"/>
      <c r="J14" s="13"/>
    </row>
    <row r="15" spans="2:10">
      <c r="B15" s="25"/>
      <c r="C15" s="28"/>
      <c r="D15" s="12"/>
      <c r="E15" s="12"/>
      <c r="F15" s="12"/>
      <c r="G15" s="12"/>
      <c r="H15" s="36"/>
      <c r="I15" s="12"/>
      <c r="J15" s="13"/>
    </row>
    <row r="16" spans="2:10">
      <c r="B16" s="25"/>
      <c r="C16" s="28"/>
      <c r="D16" s="12"/>
      <c r="E16" s="12"/>
      <c r="F16" s="12"/>
      <c r="G16" s="12"/>
      <c r="H16" s="36"/>
      <c r="I16" s="12"/>
      <c r="J16" s="13"/>
    </row>
    <row r="17" spans="2:10">
      <c r="B17" s="25"/>
      <c r="C17" s="28"/>
      <c r="D17" s="12"/>
      <c r="E17" s="12"/>
      <c r="F17" s="12"/>
      <c r="G17" s="12"/>
      <c r="H17" s="36"/>
      <c r="I17" s="12"/>
      <c r="J17" s="13"/>
    </row>
    <row r="18" spans="2:10">
      <c r="B18" s="25"/>
      <c r="C18" s="28"/>
      <c r="D18" s="12"/>
      <c r="E18" s="12"/>
      <c r="F18" s="12"/>
      <c r="G18" s="12"/>
      <c r="H18" s="36"/>
      <c r="I18" s="12"/>
      <c r="J18" s="13"/>
    </row>
    <row r="19" spans="2:10">
      <c r="B19" s="25"/>
      <c r="C19" s="28"/>
      <c r="D19" s="12"/>
      <c r="E19" s="12"/>
      <c r="F19" s="12"/>
      <c r="G19" s="12"/>
      <c r="H19" s="36"/>
      <c r="I19" s="12"/>
      <c r="J19" s="13"/>
    </row>
    <row r="20" spans="2:10" ht="14.25" thickBot="1">
      <c r="B20" s="26"/>
      <c r="C20" s="29"/>
      <c r="D20" s="14"/>
      <c r="E20" s="14"/>
      <c r="F20" s="14"/>
      <c r="G20" s="14"/>
      <c r="H20" s="37"/>
      <c r="I20" s="14"/>
      <c r="J20" s="15"/>
    </row>
    <row r="21" spans="2:10">
      <c r="B21" s="12"/>
      <c r="C21" s="12"/>
      <c r="D21" s="12"/>
      <c r="E21" s="12"/>
      <c r="F21" s="12"/>
      <c r="G21" s="12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0"/>
  <sheetViews>
    <sheetView topLeftCell="A13" workbookViewId="0">
      <selection activeCell="B46" sqref="B46"/>
    </sheetView>
  </sheetViews>
  <sheetFormatPr defaultRowHeight="13.5"/>
  <cols>
    <col min="1" max="1" width="36.625" style="1" bestFit="1" customWidth="1"/>
    <col min="2" max="2" width="10.5" bestFit="1" customWidth="1"/>
    <col min="3" max="3" width="12" customWidth="1"/>
    <col min="4" max="4" width="15.125" bestFit="1" customWidth="1"/>
    <col min="5" max="5" width="12.875" style="1" customWidth="1"/>
  </cols>
  <sheetData>
    <row r="1" spans="1:5">
      <c r="A1" s="30" t="s">
        <v>35</v>
      </c>
      <c r="B1" s="5"/>
      <c r="C1" s="6" t="s">
        <v>5</v>
      </c>
      <c r="D1" s="7" t="s">
        <v>6</v>
      </c>
      <c r="E1" s="3"/>
    </row>
    <row r="2" spans="1:5" ht="14.25" thickBot="1">
      <c r="A2" s="8" t="s">
        <v>34</v>
      </c>
      <c r="B2" s="9"/>
      <c r="C2" s="9">
        <v>27.841088561267167</v>
      </c>
      <c r="D2" s="42">
        <v>6.934551016517275E-2</v>
      </c>
      <c r="E2" s="3"/>
    </row>
    <row r="3" spans="1:5">
      <c r="A3" s="3" t="s">
        <v>7</v>
      </c>
      <c r="B3" s="2" t="s">
        <v>8</v>
      </c>
      <c r="C3" s="2" t="s">
        <v>9</v>
      </c>
      <c r="D3" s="2" t="s">
        <v>10</v>
      </c>
      <c r="E3" s="3" t="s">
        <v>13</v>
      </c>
    </row>
    <row r="4" spans="1:5">
      <c r="A4" s="3"/>
      <c r="B4" s="2"/>
      <c r="C4" s="2"/>
      <c r="D4" s="2"/>
      <c r="E4" s="3"/>
    </row>
    <row r="5" spans="1:5">
      <c r="A5" s="4" t="s">
        <v>12</v>
      </c>
      <c r="B5" s="2">
        <f>[1]!S_DQ_CLOSE($A$2,A5)</f>
        <v>3187</v>
      </c>
      <c r="C5" s="2">
        <v>3070.1233506513381</v>
      </c>
      <c r="D5" s="2"/>
      <c r="E5" s="3"/>
    </row>
    <row r="6" spans="1:5">
      <c r="A6" s="4">
        <f>GetBusinessDay(A5,1)</f>
        <v>42706</v>
      </c>
      <c r="B6" s="2">
        <f>[1]!S_DQ_CLOSE($A$2,A6)</f>
        <v>3126</v>
      </c>
      <c r="C6" s="2">
        <v>3096.3425811636894</v>
      </c>
      <c r="D6" s="2">
        <f>C6-C5</f>
        <v>26.21923051235126</v>
      </c>
      <c r="E6" s="3">
        <f>IF(D6&lt;0,-1,1)</f>
        <v>1</v>
      </c>
    </row>
    <row r="7" spans="1:5">
      <c r="A7" s="4">
        <f t="shared" ref="A7:A22" si="0">GetBusinessDay(A6,1)</f>
        <v>42709</v>
      </c>
      <c r="B7" s="2">
        <f>[1]!S_DQ_CLOSE($A$2,A7)</f>
        <v>3204</v>
      </c>
      <c r="C7" s="2">
        <f t="shared" ref="C7:C24" si="1">B7*($D$2-$D$2^2/4)+($D$2^2/2)*B6-($D$2-3/4*$D$2^2)*B5+2*(1-$D$2)*C6-(1-$D$2)^2*C5</f>
        <v>3120.4992441301401</v>
      </c>
      <c r="D7" s="2">
        <f t="shared" ref="D7:D22" si="2">C7-C6</f>
        <v>24.156662966450767</v>
      </c>
      <c r="E7" s="3">
        <f t="shared" ref="E7:E22" si="3">IF(D7&lt;0,-1,1)</f>
        <v>1</v>
      </c>
    </row>
    <row r="8" spans="1:5">
      <c r="A8" s="4">
        <f t="shared" si="0"/>
        <v>42710</v>
      </c>
      <c r="B8" s="2">
        <f>[1]!S_DQ_CLOSE($A$2,A8)</f>
        <v>3217</v>
      </c>
      <c r="C8" s="2">
        <f t="shared" si="1"/>
        <v>3147.8367958726321</v>
      </c>
      <c r="D8" s="2">
        <f t="shared" si="2"/>
        <v>27.337551742491996</v>
      </c>
      <c r="E8" s="3">
        <f t="shared" si="3"/>
        <v>1</v>
      </c>
    </row>
    <row r="9" spans="1:5">
      <c r="A9" s="4">
        <f t="shared" si="0"/>
        <v>42711</v>
      </c>
      <c r="B9" s="2">
        <f>[1]!S_DQ_CLOSE($A$2,A9)</f>
        <v>3382</v>
      </c>
      <c r="C9" s="2">
        <f t="shared" si="1"/>
        <v>3183.9451795048444</v>
      </c>
      <c r="D9" s="2">
        <f t="shared" si="2"/>
        <v>36.108383632212281</v>
      </c>
      <c r="E9" s="3">
        <f t="shared" si="3"/>
        <v>1</v>
      </c>
    </row>
    <row r="10" spans="1:5">
      <c r="A10" s="4">
        <f t="shared" si="0"/>
        <v>42712</v>
      </c>
      <c r="B10" s="2">
        <f>[1]!S_DQ_CLOSE($A$2,A10)</f>
        <v>3394</v>
      </c>
      <c r="C10" s="2">
        <f t="shared" si="1"/>
        <v>3227.8363384602449</v>
      </c>
      <c r="D10" s="2">
        <f t="shared" si="2"/>
        <v>43.891158955400442</v>
      </c>
      <c r="E10" s="3">
        <f t="shared" si="3"/>
        <v>1</v>
      </c>
    </row>
    <row r="11" spans="1:5">
      <c r="A11" s="4">
        <f t="shared" si="0"/>
        <v>42713</v>
      </c>
      <c r="B11" s="2">
        <f>[1]!S_DQ_CLOSE($A$2,A11)</f>
        <v>3345</v>
      </c>
      <c r="C11" s="2">
        <f t="shared" si="1"/>
        <v>3264.1001440944124</v>
      </c>
      <c r="D11" s="2">
        <f t="shared" si="2"/>
        <v>36.263805634167511</v>
      </c>
      <c r="E11" s="3">
        <f t="shared" si="3"/>
        <v>1</v>
      </c>
    </row>
    <row r="12" spans="1:5">
      <c r="A12" s="4">
        <f t="shared" si="0"/>
        <v>42716</v>
      </c>
      <c r="B12" s="2">
        <f>[1]!S_DQ_CLOSE($A$2,A12)</f>
        <v>3444</v>
      </c>
      <c r="C12" s="2">
        <f t="shared" si="1"/>
        <v>3299.4228832195795</v>
      </c>
      <c r="D12" s="2">
        <f t="shared" si="2"/>
        <v>35.322739125167118</v>
      </c>
      <c r="E12" s="3">
        <f t="shared" si="3"/>
        <v>1</v>
      </c>
    </row>
    <row r="13" spans="1:5">
      <c r="A13" s="4">
        <f t="shared" si="0"/>
        <v>42717</v>
      </c>
      <c r="B13" s="2">
        <f>[1]!S_DQ_CLOSE($A$2,A13)</f>
        <v>3505</v>
      </c>
      <c r="C13" s="2">
        <f t="shared" si="1"/>
        <v>3341.376672048239</v>
      </c>
      <c r="D13" s="2">
        <f t="shared" si="2"/>
        <v>41.953788828659526</v>
      </c>
      <c r="E13" s="3">
        <f t="shared" si="3"/>
        <v>1</v>
      </c>
    </row>
    <row r="14" spans="1:5">
      <c r="A14" s="4">
        <f t="shared" si="0"/>
        <v>42718</v>
      </c>
      <c r="B14" s="2">
        <f>[1]!S_DQ_CLOSE($A$2,A14)</f>
        <v>3375</v>
      </c>
      <c r="C14" s="2">
        <f t="shared" si="1"/>
        <v>3373.6518694930055</v>
      </c>
      <c r="D14" s="2">
        <f t="shared" si="2"/>
        <v>32.275197444766491</v>
      </c>
      <c r="E14" s="3">
        <f t="shared" si="3"/>
        <v>1</v>
      </c>
    </row>
    <row r="15" spans="1:5">
      <c r="A15" s="4">
        <f t="shared" si="0"/>
        <v>42719</v>
      </c>
      <c r="B15" s="2">
        <f>[1]!S_DQ_CLOSE($A$2,A15)</f>
        <v>3413</v>
      </c>
      <c r="C15" s="2">
        <f t="shared" si="1"/>
        <v>3395.6558621703034</v>
      </c>
      <c r="D15" s="2">
        <f t="shared" si="2"/>
        <v>22.003992677297902</v>
      </c>
      <c r="E15" s="3">
        <f t="shared" si="3"/>
        <v>1</v>
      </c>
    </row>
    <row r="16" spans="1:5">
      <c r="A16" s="4">
        <f t="shared" si="0"/>
        <v>42720</v>
      </c>
      <c r="B16" s="2">
        <f>[1]!S_DQ_CLOSE($A$2,A16)</f>
        <v>3293</v>
      </c>
      <c r="C16" s="2">
        <f t="shared" si="1"/>
        <v>3409.1181972992995</v>
      </c>
      <c r="D16" s="2">
        <f t="shared" si="2"/>
        <v>13.462335128996074</v>
      </c>
      <c r="E16" s="3">
        <f t="shared" si="3"/>
        <v>1</v>
      </c>
    </row>
    <row r="17" spans="1:5">
      <c r="A17" s="4">
        <f t="shared" si="0"/>
        <v>42723</v>
      </c>
      <c r="B17" s="2">
        <f>[1]!S_DQ_CLOSE($A$2,A17)</f>
        <v>3171</v>
      </c>
      <c r="C17" s="2">
        <f t="shared" si="1"/>
        <v>3404.017622859325</v>
      </c>
      <c r="D17" s="2">
        <f t="shared" si="2"/>
        <v>-5.1005744399744799</v>
      </c>
      <c r="E17" s="3">
        <f t="shared" si="3"/>
        <v>-1</v>
      </c>
    </row>
    <row r="18" spans="1:5">
      <c r="A18" s="4">
        <f t="shared" si="0"/>
        <v>42724</v>
      </c>
      <c r="B18" s="2">
        <f>[1]!S_DQ_CLOSE($A$2,A18)</f>
        <v>3162</v>
      </c>
      <c r="C18" s="2">
        <f t="shared" si="1"/>
        <v>3389.8459527056416</v>
      </c>
      <c r="D18" s="2">
        <f t="shared" si="2"/>
        <v>-14.171670153683408</v>
      </c>
      <c r="E18" s="3">
        <f t="shared" si="3"/>
        <v>-1</v>
      </c>
    </row>
    <row r="19" spans="1:5">
      <c r="A19" s="4">
        <f t="shared" si="0"/>
        <v>42725</v>
      </c>
      <c r="B19" s="2">
        <f>[1]!S_DQ_CLOSE($A$2,A19)</f>
        <v>3169</v>
      </c>
      <c r="C19" s="2">
        <f t="shared" si="1"/>
        <v>3376.3613046323489</v>
      </c>
      <c r="D19" s="2">
        <f t="shared" si="2"/>
        <v>-13.484648073292647</v>
      </c>
      <c r="E19" s="3">
        <f t="shared" si="3"/>
        <v>-1</v>
      </c>
    </row>
    <row r="20" spans="1:5">
      <c r="A20" s="4">
        <f t="shared" si="0"/>
        <v>42726</v>
      </c>
      <c r="B20" s="2">
        <f>[1]!S_DQ_CLOSE($A$2,A20)</f>
        <v>3026</v>
      </c>
      <c r="C20" s="2">
        <f t="shared" si="1"/>
        <v>3354.400531201165</v>
      </c>
      <c r="D20" s="2">
        <f t="shared" si="2"/>
        <v>-21.960773431183952</v>
      </c>
      <c r="E20" s="3">
        <f t="shared" si="3"/>
        <v>-1</v>
      </c>
    </row>
    <row r="21" spans="1:5">
      <c r="A21" s="4">
        <f t="shared" si="0"/>
        <v>42727</v>
      </c>
      <c r="B21" s="2">
        <f>[1]!S_DQ_CLOSE($A$2,A21)</f>
        <v>2984</v>
      </c>
      <c r="C21" s="2">
        <f t="shared" si="1"/>
        <v>3321.5380192732814</v>
      </c>
      <c r="D21" s="2">
        <f t="shared" si="2"/>
        <v>-32.862511927883588</v>
      </c>
      <c r="E21" s="3">
        <f t="shared" si="3"/>
        <v>-1</v>
      </c>
    </row>
    <row r="22" spans="1:5">
      <c r="A22" s="4">
        <f t="shared" si="0"/>
        <v>42730</v>
      </c>
      <c r="B22" s="2">
        <f>[1]!S_DQ_CLOSE($A$2,A22)</f>
        <v>2922</v>
      </c>
      <c r="C22" s="2">
        <f t="shared" si="1"/>
        <v>3284.4661411948014</v>
      </c>
      <c r="D22" s="2">
        <f t="shared" si="2"/>
        <v>-37.07187807848004</v>
      </c>
      <c r="E22" s="3">
        <f t="shared" si="3"/>
        <v>-1</v>
      </c>
    </row>
    <row r="23" spans="1:5">
      <c r="A23" s="4">
        <f>GetBusinessDay(A22,1)</f>
        <v>42731</v>
      </c>
      <c r="B23" s="2">
        <f>[1]!S_DQ_CLOSE($A$2,A23)</f>
        <v>3006</v>
      </c>
      <c r="C23" s="2">
        <f t="shared" si="1"/>
        <v>3252.2627269914028</v>
      </c>
      <c r="D23" s="2">
        <f>C23-C22</f>
        <v>-32.203414203398552</v>
      </c>
      <c r="E23" s="3">
        <f>IF(D23&lt;0,-1,1)</f>
        <v>-1</v>
      </c>
    </row>
    <row r="24" spans="1:5">
      <c r="A24" s="4">
        <f>GetBusinessDay(A23,1)</f>
        <v>42732</v>
      </c>
      <c r="B24" s="2">
        <f>[1]!S_DQ_CLOSE($A$2,A24)</f>
        <v>2989</v>
      </c>
      <c r="C24" s="2">
        <f t="shared" si="1"/>
        <v>3227.5501814374484</v>
      </c>
      <c r="D24" s="2">
        <f>C24-C23</f>
        <v>-24.712545553954442</v>
      </c>
      <c r="E24" s="3">
        <f>IF(D24&lt;0,-1,1)</f>
        <v>-1</v>
      </c>
    </row>
    <row r="25" spans="1:5">
      <c r="A25" s="11">
        <f>GetBusinessDay(A24,1)</f>
        <v>42733</v>
      </c>
      <c r="B25">
        <f>[1]!S_DQ_CLOSE($A$2,A25)</f>
        <v>2952</v>
      </c>
      <c r="C25">
        <f>B25*($D$2-$D$2^2/4)+($D$2^2/2)*B24-($D$2-3/4*$D$2^2)*B23+2*(1-$D$2)*C24-(1-$D$2)^2*C23</f>
        <v>3201.360202343918</v>
      </c>
      <c r="D25">
        <f>C25-C24</f>
        <v>-26.189979093530383</v>
      </c>
      <c r="E25" s="1">
        <f>IF(D25&lt;0,-1,1)</f>
        <v>-1</v>
      </c>
    </row>
    <row r="26" spans="1:5">
      <c r="A26" s="11">
        <f>GetBusinessDay(A25,1)</f>
        <v>42734</v>
      </c>
      <c r="B26">
        <f>[1]!S_DQ_CLOSE($A$2,A26)</f>
        <v>2867</v>
      </c>
      <c r="C26">
        <f>B26*($D$2-$D$2^2/4)+($D$2^2/2)*B25-($D$2-3/4*$D$2^2)*B24+2*(1-$D$2)*C25-(1-$D$2)^2*C24</f>
        <v>3169.2529514704775</v>
      </c>
      <c r="D26">
        <f>C26-C25</f>
        <v>-32.107250873440535</v>
      </c>
      <c r="E26" s="1">
        <f>IF(D26&lt;0,-1,1)</f>
        <v>-1</v>
      </c>
    </row>
    <row r="27" spans="1:5">
      <c r="A27" s="11">
        <f>GetBusinessDay(A26,1)</f>
        <v>42738</v>
      </c>
      <c r="B27">
        <f>[1]!S_DQ_CLOSE($A$2,A27)</f>
        <v>2851</v>
      </c>
      <c r="C27">
        <f>B27*($D$2-$D$2^2/4)+($D$2^2/2)*B26-($D$2-3/4*$D$2^2)*B25+2*(1-$D$2)*C26-(1-$D$2)^2*C25</f>
        <v>3133.312716371599</v>
      </c>
      <c r="D27">
        <f>C27-C26</f>
        <v>-35.940235098878475</v>
      </c>
      <c r="E27" s="1">
        <f>IF(D27&lt;0,-1,1)</f>
        <v>-1</v>
      </c>
    </row>
    <row r="28" spans="1:5">
      <c r="A28" s="11">
        <f>GetBusinessDay(A27,1)</f>
        <v>42739</v>
      </c>
      <c r="B28">
        <f>[1]!S_DQ_CLOSE($A$2,A28)</f>
        <v>2930</v>
      </c>
      <c r="C28">
        <f>B28*($D$2-$D$2^2/4)+($D$2^2/2)*B27-($D$2-3/4*$D$2^2)*B26+2*(1-$D$2)*C27-(1-$D$2)^2*C26</f>
        <v>3105.1581533685694</v>
      </c>
      <c r="D28">
        <f>C28-C27</f>
        <v>-28.15456300302958</v>
      </c>
      <c r="E28" s="1">
        <f>IF(D28&lt;0,-1,1)</f>
        <v>-1</v>
      </c>
    </row>
    <row r="29" spans="1:5">
      <c r="A29" s="11">
        <f>GetBusinessDay(A28,1)</f>
        <v>42740</v>
      </c>
      <c r="B29">
        <f>[1]!S_DQ_CLOSE($A$2,A29)</f>
        <v>2941</v>
      </c>
      <c r="C29">
        <f>B29*($D$2-$D$2^2/4)+($D$2^2/2)*B28-($D$2-3/4*$D$2^2)*B27+2*(1-$D$2)*C28-(1-$D$2)^2*C27</f>
        <v>3085.8736356181139</v>
      </c>
      <c r="D29">
        <f>C29-C28</f>
        <v>-19.284517750455507</v>
      </c>
      <c r="E29" s="1">
        <f>IF(D29&lt;0,-1,1)</f>
        <v>-1</v>
      </c>
    </row>
    <row r="30" spans="1:5">
      <c r="A30" s="11">
        <f>GetBusinessDay(A29,1)</f>
        <v>42741</v>
      </c>
      <c r="B30">
        <f>[1]!S_DQ_CLOSE($A$2,A30)</f>
        <v>2912</v>
      </c>
      <c r="C30">
        <f>B30*($D$2-$D$2^2/4)+($D$2^2/2)*B29-($D$2-3/4*$D$2^2)*B28+2*(1-$D$2)*C29-(1-$D$2)^2*C28</f>
        <v>3067.2212756364797</v>
      </c>
      <c r="D30">
        <f>C30-C29</f>
        <v>-18.652359981634163</v>
      </c>
      <c r="E30" s="1">
        <f>IF(D30&lt;0,-1,1)</f>
        <v>-1</v>
      </c>
    </row>
    <row r="31" spans="1:5">
      <c r="A31" s="11">
        <f>GetBusinessDay(A30,1)</f>
        <v>42744</v>
      </c>
      <c r="B31">
        <f>[1]!S_DQ_CLOSE($A$2,A31)</f>
        <v>3048</v>
      </c>
      <c r="C31">
        <f>B31*($D$2-$D$2^2/4)+($D$2^2/2)*B30-($D$2-3/4*$D$2^2)*B29+2*(1-$D$2)*C30-(1-$D$2)^2*C29</f>
        <v>3057.680768781915</v>
      </c>
      <c r="D31">
        <f>C31-C30</f>
        <v>-9.5405068545646827</v>
      </c>
      <c r="E31" s="1">
        <f>IF(D31&lt;0,-1,1)</f>
        <v>-1</v>
      </c>
    </row>
    <row r="32" spans="1:5">
      <c r="A32" s="11">
        <f>GetBusinessDay(A31,1)</f>
        <v>42745</v>
      </c>
      <c r="B32">
        <f>[1]!S_DQ_CLOSE($A$2,A32)</f>
        <v>3167</v>
      </c>
      <c r="C32">
        <f>B32*($D$2-$D$2^2/4)+($D$2^2/2)*B31-($D$2-3/4*$D$2^2)*B30+2*(1-$D$2)*C31-(1-$D$2)^2*C30</f>
        <v>3066.4205590125202</v>
      </c>
      <c r="D32">
        <f>C32-C31</f>
        <v>8.7397902306051947</v>
      </c>
      <c r="E32" s="1">
        <f>IF(D32&lt;0,-1,1)</f>
        <v>1</v>
      </c>
    </row>
    <row r="33" spans="1:5">
      <c r="A33" s="11">
        <f>GetBusinessDay(A32,1)</f>
        <v>42746</v>
      </c>
      <c r="B33">
        <f>[1]!S_DQ_CLOSE($A$2,A33)</f>
        <v>3182</v>
      </c>
      <c r="C33">
        <f>B33*($D$2-$D$2^2/4)+($D$2^2/2)*B32-($D$2-3/4*$D$2^2)*B31+2*(1-$D$2)*C32-(1-$D$2)^2*C31</f>
        <v>3083.3189930961953</v>
      </c>
      <c r="D33">
        <f>C33-C32</f>
        <v>16.898434083675056</v>
      </c>
      <c r="E33" s="1">
        <f>IF(D33&lt;0,-1,1)</f>
        <v>1</v>
      </c>
    </row>
    <row r="34" spans="1:5">
      <c r="A34" s="11">
        <f>GetBusinessDay(A33,1)</f>
        <v>42747</v>
      </c>
      <c r="B34">
        <f>[1]!S_DQ_CLOSE($A$2,A34)</f>
        <v>3207</v>
      </c>
      <c r="C34">
        <f>B34*($D$2-$D$2^2/4)+($D$2^2/2)*B33-($D$2-3/4*$D$2^2)*B32+2*(1-$D$2)*C33-(1-$D$2)^2*C32</f>
        <v>3101.1192309156763</v>
      </c>
      <c r="D34">
        <f>C34-C33</f>
        <v>17.800237819481026</v>
      </c>
      <c r="E34" s="1">
        <f>IF(D34&lt;0,-1,1)</f>
        <v>1</v>
      </c>
    </row>
    <row r="35" spans="1:5">
      <c r="A35" s="11">
        <f>GetBusinessDay(A34,1)</f>
        <v>42748</v>
      </c>
      <c r="B35">
        <f>[1]!S_DQ_CLOSE($A$2,A35)</f>
        <v>3194</v>
      </c>
      <c r="C35">
        <f>B35*($D$2-$D$2^2/4)+($D$2^2/2)*B34-($D$2-3/4*$D$2^2)*B33+2*(1-$D$2)*C34-(1-$D$2)^2*C33</f>
        <v>3117.8031025140394</v>
      </c>
      <c r="D35">
        <f>C35-C34</f>
        <v>16.683871598363112</v>
      </c>
      <c r="E35" s="1">
        <f>IF(D35&lt;0,-1,1)</f>
        <v>1</v>
      </c>
    </row>
    <row r="36" spans="1:5">
      <c r="A36" s="11">
        <f>GetBusinessDay(A35,1)</f>
        <v>42751</v>
      </c>
      <c r="B36">
        <f>[1]!S_DQ_CLOSE($A$2,A36)</f>
        <v>3375</v>
      </c>
      <c r="C36">
        <f>B36*($D$2-$D$2^2/4)+($D$2^2/2)*B35-($D$2-3/4*$D$2^2)*B34+2*(1-$D$2)*C35-(1-$D$2)^2*C34</f>
        <v>3144.099049274867</v>
      </c>
      <c r="D36">
        <f>C36-C35</f>
        <v>26.295946760827519</v>
      </c>
      <c r="E36" s="1">
        <f>IF(D36&lt;0,-1,1)</f>
        <v>1</v>
      </c>
    </row>
    <row r="37" spans="1:5">
      <c r="A37" s="11">
        <f>GetBusinessDay(A36,1)</f>
        <v>42752</v>
      </c>
      <c r="B37">
        <f>[1]!S_DQ_CLOSE($A$2,A37)</f>
        <v>3284</v>
      </c>
      <c r="C37">
        <f>B37*($D$2-$D$2^2/4)+($D$2^2/2)*B36-($D$2-3/4*$D$2^2)*B35+2*(1-$D$2)*C36-(1-$D$2)^2*C35</f>
        <v>3173.6824942726653</v>
      </c>
      <c r="D37">
        <f>C37-C36</f>
        <v>29.583444997798324</v>
      </c>
      <c r="E37" s="1">
        <f>IF(D37&lt;0,-1,1)</f>
        <v>1</v>
      </c>
    </row>
    <row r="38" spans="1:5">
      <c r="A38" s="11">
        <f>GetBusinessDay(A37,1)</f>
        <v>42753</v>
      </c>
      <c r="B38">
        <f>[1]!S_DQ_CLOSE($A$2,A38)</f>
        <v>3292</v>
      </c>
      <c r="C38">
        <f>B38*($D$2-$D$2^2/4)+($D$2^2/2)*B37-($D$2-3/4*$D$2^2)*B36+2*(1-$D$2)*C37-(1-$D$2)^2*C36</f>
        <v>3194.3986424016312</v>
      </c>
      <c r="D38">
        <f>C38-C37</f>
        <v>20.71614812896587</v>
      </c>
      <c r="E38" s="1">
        <f>IF(D38&lt;0,-1,1)</f>
        <v>1</v>
      </c>
    </row>
    <row r="39" spans="1:5">
      <c r="A39" s="11">
        <f>GetBusinessDay(A38,1)</f>
        <v>42754</v>
      </c>
      <c r="B39">
        <f>[1]!S_DQ_CLOSE($A$2,A39)</f>
        <v>3256</v>
      </c>
      <c r="C39">
        <f>B39*($D$2-$D$2^2/4)+($D$2^2/2)*B38-($D$2-3/4*$D$2^2)*B37+2*(1-$D$2)*C38-(1-$D$2)^2*C37</f>
        <v>3210.8833641195115</v>
      </c>
      <c r="D39">
        <f>C39-C38</f>
        <v>16.484721717880348</v>
      </c>
      <c r="E39" s="1">
        <f>IF(D39&lt;0,-1,1)</f>
        <v>1</v>
      </c>
    </row>
    <row r="40" spans="1:5">
      <c r="A40" s="11">
        <f>GetBusinessDay(A39,1)</f>
        <v>42755</v>
      </c>
      <c r="B40">
        <f>[1]!S_DQ_CLOSE($A$2,A40)</f>
        <v>3194</v>
      </c>
      <c r="C40">
        <f>B40*($D$2-$D$2^2/4)+($D$2^2/2)*B39-($D$2-3/4*$D$2^2)*B38+2*(1-$D$2)*C39-(1-$D$2)^2*C38</f>
        <v>3218.786545551814</v>
      </c>
      <c r="D40">
        <f>C40-C39</f>
        <v>7.9031814323025174</v>
      </c>
      <c r="E40" s="1">
        <f>IF(D40&lt;0,-1,1)</f>
        <v>1</v>
      </c>
    </row>
    <row r="41" spans="1:5">
      <c r="A41" s="11">
        <f>GetBusinessDay(A40,1)</f>
        <v>42758</v>
      </c>
      <c r="B41">
        <f>[1]!S_DQ_CLOSE($A$2,A41)</f>
        <v>3180</v>
      </c>
      <c r="C41">
        <f>B41*($D$2-$D$2^2/4)+($D$2^2/2)*B40-($D$2-3/4*$D$2^2)*B39+2*(1-$D$2)*C40-(1-$D$2)^2*C39</f>
        <v>3220.4826191861998</v>
      </c>
      <c r="D41">
        <f>C41-C40</f>
        <v>1.6960736343858116</v>
      </c>
      <c r="E41" s="1">
        <f>IF(D41&lt;0,-1,1)</f>
        <v>1</v>
      </c>
    </row>
    <row r="42" spans="1:5">
      <c r="A42" s="11">
        <f>GetBusinessDay(A41,1)</f>
        <v>42759</v>
      </c>
      <c r="B42">
        <f>[1]!S_DQ_CLOSE($A$2,A42)</f>
        <v>3292</v>
      </c>
      <c r="C42">
        <f>B42*($D$2-$D$2^2/4)+($D$2^2/2)*B41-($D$2-3/4*$D$2^2)*B40+2*(1-$D$2)*C41-(1-$D$2)^2*C40</f>
        <v>3228.4686519059933</v>
      </c>
      <c r="D42">
        <f>C42-C41</f>
        <v>7.9860327197934566</v>
      </c>
      <c r="E42" s="1">
        <f>IF(D42&lt;0,-1,1)</f>
        <v>1</v>
      </c>
    </row>
    <row r="43" spans="1:5">
      <c r="A43" s="11">
        <f>GetBusinessDay(A42,1)</f>
        <v>42760</v>
      </c>
      <c r="B43">
        <f>[1]!S_DQ_CLOSE($A$2,A43)</f>
        <v>3299</v>
      </c>
      <c r="C43">
        <f>B43*($D$2-$D$2^2/4)+($D$2^2/2)*B42-($D$2-3/4*$D$2^2)*B41+2*(1-$D$2)*C42-(1-$D$2)^2*C41</f>
        <v>3243.5307674931305</v>
      </c>
      <c r="D43">
        <f>C43-C42</f>
        <v>15.062115587137214</v>
      </c>
      <c r="E43" s="1">
        <f>IF(D43&lt;0,-1,1)</f>
        <v>1</v>
      </c>
    </row>
    <row r="44" spans="1:5">
      <c r="A44" s="11">
        <f>GetBusinessDay(A43,1)</f>
        <v>42761</v>
      </c>
      <c r="B44">
        <f>[1]!S_DQ_CLOSE($A$2,A44)</f>
        <v>3369</v>
      </c>
      <c r="C44">
        <f>B44*($D$2-$D$2^2/4)+($D$2^2/2)*B43-($D$2-3/4*$D$2^2)*B42+2*(1-$D$2)*C43-(1-$D$2)^2*C42</f>
        <v>3262.0732781200782</v>
      </c>
      <c r="D44">
        <f>C44-C43</f>
        <v>18.54251062694766</v>
      </c>
      <c r="E44" s="1">
        <f>IF(D44&lt;0,-1,1)</f>
        <v>1</v>
      </c>
    </row>
    <row r="45" spans="1:5">
      <c r="A45" s="11">
        <f>GetBusinessDay(A44,1)</f>
        <v>42769</v>
      </c>
      <c r="B45">
        <f>[1]!S_DQ_CLOSE($A$2,A45)</f>
        <v>3113</v>
      </c>
      <c r="C45">
        <f>B45*($D$2-$D$2^2/4)+($D$2^2/2)*B44-($D$2-3/4*$D$2^2)*B43+2*(1-$D$2)*C44-(1-$D$2)^2*C43</f>
        <v>3265.8045017531217</v>
      </c>
      <c r="D45">
        <f>C45-C44</f>
        <v>3.7312236330435553</v>
      </c>
      <c r="E45" s="1">
        <f>IF(D45&lt;0,-1,1)</f>
        <v>1</v>
      </c>
    </row>
    <row r="46" spans="1:5">
      <c r="A46" s="11">
        <f>GetBusinessDay(A45,1)</f>
        <v>42772</v>
      </c>
      <c r="B46">
        <f>[1]!S_DQ_CLOSE($A$2,A46)</f>
        <v>3082</v>
      </c>
      <c r="C46">
        <f>B46*($D$2-$D$2^2/4)+($D$2^2/2)*B45-($D$2-3/4*$D$2^2)*B44+2*(1-$D$2)*C45-(1-$D$2)^2*C44</f>
        <v>3249.3597709650439</v>
      </c>
      <c r="D46">
        <f>C46-C45</f>
        <v>-16.444730788077777</v>
      </c>
      <c r="E46" s="1">
        <f>IF(D46&lt;0,-1,1)</f>
        <v>-1</v>
      </c>
    </row>
    <row r="47" spans="1:5">
      <c r="A47" s="11"/>
    </row>
    <row r="48" spans="1:5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000" spans="1:2">
      <c r="A1000" s="1">
        <f>GetBusinessDay(A999,1)</f>
        <v>2</v>
      </c>
      <c r="B1000">
        <f>[1]!S_DQ_CLOSE($A$2,A999)</f>
        <v>3082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7"/>
  <sheetViews>
    <sheetView topLeftCell="A10" workbookViewId="0">
      <selection activeCell="E27" sqref="E27"/>
    </sheetView>
  </sheetViews>
  <sheetFormatPr defaultRowHeight="13.5"/>
  <cols>
    <col min="1" max="1" width="40.875" style="1" bestFit="1" customWidth="1"/>
    <col min="2" max="2" width="12.25" style="1" customWidth="1"/>
    <col min="3" max="3" width="12.75" style="1" customWidth="1"/>
    <col min="4" max="4" width="12.625" style="1" customWidth="1"/>
    <col min="5" max="5" width="9" style="1"/>
  </cols>
  <sheetData>
    <row r="1" spans="1:5">
      <c r="A1" s="30" t="s">
        <v>22</v>
      </c>
      <c r="B1" s="5"/>
      <c r="C1" s="6" t="s">
        <v>5</v>
      </c>
      <c r="D1" s="7" t="s">
        <v>6</v>
      </c>
      <c r="E1" s="3"/>
    </row>
    <row r="2" spans="1:5" ht="14.25" thickBot="1">
      <c r="A2" s="8" t="s">
        <v>20</v>
      </c>
      <c r="B2" s="9"/>
      <c r="C2" s="9">
        <v>15.884586789548452</v>
      </c>
      <c r="D2" s="10">
        <v>0.11845122566090861</v>
      </c>
      <c r="E2" s="3"/>
    </row>
    <row r="3" spans="1:5">
      <c r="A3" s="3" t="s">
        <v>7</v>
      </c>
      <c r="B3" s="3" t="s">
        <v>8</v>
      </c>
      <c r="C3" s="3" t="s">
        <v>9</v>
      </c>
      <c r="D3" s="3" t="s">
        <v>10</v>
      </c>
      <c r="E3" s="3" t="s">
        <v>13</v>
      </c>
    </row>
    <row r="4" spans="1:5">
      <c r="A4" s="3"/>
      <c r="B4" s="3"/>
      <c r="C4" s="3"/>
      <c r="D4" s="3"/>
      <c r="E4" s="3"/>
    </row>
    <row r="5" spans="1:5">
      <c r="A5" s="4" t="s">
        <v>12</v>
      </c>
      <c r="B5" s="3">
        <f>[1]!S_DQ_CLOSE($A$2,A5)</f>
        <v>5182</v>
      </c>
      <c r="C5" s="3">
        <v>5171.4860248005243</v>
      </c>
      <c r="D5" s="3"/>
      <c r="E5" s="3"/>
    </row>
    <row r="6" spans="1:5">
      <c r="A6" s="4">
        <f>GetBusinessDay(A5,1)</f>
        <v>42706</v>
      </c>
      <c r="B6" s="3">
        <f>[1]!S_DQ_CLOSE($A$2,A6)</f>
        <v>5230</v>
      </c>
      <c r="C6" s="3">
        <v>5191.5136996897854</v>
      </c>
      <c r="D6" s="3">
        <f>C6-C5</f>
        <v>20.027674889261107</v>
      </c>
      <c r="E6" s="3">
        <f>IF(D6&lt;0,-1,1)</f>
        <v>1</v>
      </c>
    </row>
    <row r="7" spans="1:5">
      <c r="A7" s="4">
        <f t="shared" ref="A7:A23" si="0">GetBusinessDay(A6,1)</f>
        <v>42709</v>
      </c>
      <c r="B7" s="3">
        <f>[1]!S_DQ_CLOSE($A$2,A7)</f>
        <v>5262</v>
      </c>
      <c r="C7" s="3">
        <f>B7*($D$2-$D$2^2/4)+($D$2^2/2)*B6-($D$2-3/4*$D$2^2)*B5+2*(1-$D$2)*C6-(1-$D$2)^2*C5</f>
        <v>5216.4765084845876</v>
      </c>
      <c r="D7" s="3">
        <f t="shared" ref="D7:D22" si="1">C7-C6</f>
        <v>24.962808794802186</v>
      </c>
      <c r="E7" s="3">
        <f t="shared" ref="E7:E22" si="2">IF(D7&lt;0,-1,1)</f>
        <v>1</v>
      </c>
    </row>
    <row r="8" spans="1:5">
      <c r="A8" s="4">
        <f t="shared" si="0"/>
        <v>42710</v>
      </c>
      <c r="B8" s="3">
        <f>[1]!S_DQ_CLOSE($A$2,A8)</f>
        <v>5224</v>
      </c>
      <c r="C8" s="3">
        <f t="shared" ref="C8:C22" si="3">B8*($D$2-$D$2^2/4)+($D$2^2/2)*B7-($D$2-3/4*$D$2^2)*B6+2*(1-$D$2)*C7-(1-$D$2)^2*C6</f>
        <v>5235.6003859141092</v>
      </c>
      <c r="D8" s="3">
        <f t="shared" si="1"/>
        <v>19.123877429521599</v>
      </c>
      <c r="E8" s="3">
        <f t="shared" si="2"/>
        <v>1</v>
      </c>
    </row>
    <row r="9" spans="1:5">
      <c r="A9" s="4">
        <f t="shared" si="0"/>
        <v>42711</v>
      </c>
      <c r="B9" s="3">
        <f>[1]!S_DQ_CLOSE($A$2,A9)</f>
        <v>5232</v>
      </c>
      <c r="C9" s="3">
        <f t="shared" si="3"/>
        <v>5247.1176062914692</v>
      </c>
      <c r="D9" s="3">
        <f t="shared" si="1"/>
        <v>11.51722037735999</v>
      </c>
      <c r="E9" s="3">
        <f t="shared" si="2"/>
        <v>1</v>
      </c>
    </row>
    <row r="10" spans="1:5">
      <c r="A10" s="4">
        <f t="shared" si="0"/>
        <v>42712</v>
      </c>
      <c r="B10" s="3">
        <f>[1]!S_DQ_CLOSE($A$2,A10)</f>
        <v>5240</v>
      </c>
      <c r="C10" s="3">
        <f t="shared" si="3"/>
        <v>5257.6388270877706</v>
      </c>
      <c r="D10" s="3">
        <f t="shared" si="1"/>
        <v>10.52122079630135</v>
      </c>
      <c r="E10" s="3">
        <f t="shared" si="2"/>
        <v>1</v>
      </c>
    </row>
    <row r="11" spans="1:5">
      <c r="A11" s="4">
        <f t="shared" si="0"/>
        <v>42713</v>
      </c>
      <c r="B11" s="3">
        <f>[1]!S_DQ_CLOSE($A$2,A11)</f>
        <v>5380</v>
      </c>
      <c r="C11" s="3">
        <f t="shared" si="3"/>
        <v>5282.5232029292829</v>
      </c>
      <c r="D11" s="3">
        <f t="shared" si="1"/>
        <v>24.884375841512338</v>
      </c>
      <c r="E11" s="3">
        <f t="shared" si="2"/>
        <v>1</v>
      </c>
    </row>
    <row r="12" spans="1:5">
      <c r="A12" s="4">
        <f t="shared" si="0"/>
        <v>42716</v>
      </c>
      <c r="B12" s="3">
        <f>[1]!S_DQ_CLOSE($A$2,A12)</f>
        <v>5550</v>
      </c>
      <c r="C12" s="3">
        <f t="shared" si="3"/>
        <v>5337.8795739274665</v>
      </c>
      <c r="D12" s="3">
        <f t="shared" si="1"/>
        <v>55.356370998183593</v>
      </c>
      <c r="E12" s="3">
        <f t="shared" si="2"/>
        <v>1</v>
      </c>
    </row>
    <row r="13" spans="1:5">
      <c r="A13" s="4">
        <f t="shared" si="0"/>
        <v>42717</v>
      </c>
      <c r="B13" s="3">
        <f>[1]!S_DQ_CLOSE($A$2,A13)</f>
        <v>5532</v>
      </c>
      <c r="C13" s="3">
        <f t="shared" si="3"/>
        <v>5400.1535808055378</v>
      </c>
      <c r="D13" s="3">
        <f t="shared" si="1"/>
        <v>62.274006878071305</v>
      </c>
      <c r="E13" s="3">
        <f t="shared" si="2"/>
        <v>1</v>
      </c>
    </row>
    <row r="14" spans="1:5">
      <c r="A14" s="4">
        <f t="shared" si="0"/>
        <v>42718</v>
      </c>
      <c r="B14" s="3">
        <f>[1]!S_DQ_CLOSE($A$2,A14)</f>
        <v>5474</v>
      </c>
      <c r="C14" s="3">
        <f t="shared" si="3"/>
        <v>5441.7889331266169</v>
      </c>
      <c r="D14" s="3">
        <f t="shared" si="1"/>
        <v>41.635352321079154</v>
      </c>
      <c r="E14" s="3">
        <f t="shared" si="2"/>
        <v>1</v>
      </c>
    </row>
    <row r="15" spans="1:5">
      <c r="A15" s="4">
        <f t="shared" si="0"/>
        <v>42719</v>
      </c>
      <c r="B15" s="3">
        <f>[1]!S_DQ_CLOSE($A$2,A15)</f>
        <v>5502</v>
      </c>
      <c r="C15" s="3">
        <f t="shared" si="3"/>
        <v>5471.555468367339</v>
      </c>
      <c r="D15" s="3">
        <f t="shared" si="1"/>
        <v>29.766535240722078</v>
      </c>
      <c r="E15" s="3">
        <f t="shared" si="2"/>
        <v>1</v>
      </c>
    </row>
    <row r="16" spans="1:5">
      <c r="A16" s="4">
        <f t="shared" si="0"/>
        <v>42720</v>
      </c>
      <c r="B16" s="3">
        <f>[1]!S_DQ_CLOSE($A$2,A16)</f>
        <v>5470</v>
      </c>
      <c r="C16" s="3">
        <f t="shared" si="3"/>
        <v>5494.458837518453</v>
      </c>
      <c r="D16" s="3">
        <f t="shared" si="1"/>
        <v>22.90336915111402</v>
      </c>
      <c r="E16" s="3">
        <f t="shared" si="2"/>
        <v>1</v>
      </c>
    </row>
    <row r="17" spans="1:5">
      <c r="A17" s="4">
        <f t="shared" si="0"/>
        <v>42723</v>
      </c>
      <c r="B17" s="3">
        <f>[1]!S_DQ_CLOSE($A$2,A17)</f>
        <v>5506</v>
      </c>
      <c r="C17" s="3">
        <f t="shared" si="3"/>
        <v>5512.598783370775</v>
      </c>
      <c r="D17" s="3">
        <f t="shared" si="1"/>
        <v>18.139945852321944</v>
      </c>
      <c r="E17" s="3">
        <f t="shared" si="2"/>
        <v>1</v>
      </c>
    </row>
    <row r="18" spans="1:5">
      <c r="A18" s="4">
        <f t="shared" si="0"/>
        <v>42724</v>
      </c>
      <c r="B18" s="3">
        <f>[1]!S_DQ_CLOSE($A$2,A18)</f>
        <v>5344</v>
      </c>
      <c r="C18" s="3">
        <f t="shared" si="3"/>
        <v>5511.867822010212</v>
      </c>
      <c r="D18" s="3">
        <f t="shared" si="1"/>
        <v>-0.73096136056301475</v>
      </c>
      <c r="E18" s="3">
        <f t="shared" si="2"/>
        <v>-1</v>
      </c>
    </row>
    <row r="19" spans="1:5">
      <c r="A19" s="4">
        <f t="shared" si="0"/>
        <v>42725</v>
      </c>
      <c r="B19" s="3">
        <f>[1]!S_DQ_CLOSE($A$2,A19)</f>
        <v>5390</v>
      </c>
      <c r="C19" s="3">
        <f t="shared" si="3"/>
        <v>5496.7475034796435</v>
      </c>
      <c r="D19" s="3">
        <f t="shared" si="1"/>
        <v>-15.120318530568511</v>
      </c>
      <c r="E19" s="3">
        <f t="shared" si="2"/>
        <v>-1</v>
      </c>
    </row>
    <row r="20" spans="1:5">
      <c r="A20" s="4">
        <f t="shared" si="0"/>
        <v>42726</v>
      </c>
      <c r="B20" s="3">
        <f>[1]!S_DQ_CLOSE($A$2,A20)</f>
        <v>5326</v>
      </c>
      <c r="C20" s="3">
        <f t="shared" si="3"/>
        <v>5481.1076456137043</v>
      </c>
      <c r="D20" s="3">
        <f t="shared" si="1"/>
        <v>-15.639857865939121</v>
      </c>
      <c r="E20" s="3">
        <f t="shared" si="2"/>
        <v>-1</v>
      </c>
    </row>
    <row r="21" spans="1:5">
      <c r="A21" s="4">
        <f t="shared" si="0"/>
        <v>42727</v>
      </c>
      <c r="B21" s="3">
        <f>[1]!S_DQ_CLOSE($A$2,A21)</f>
        <v>5318</v>
      </c>
      <c r="C21" s="3">
        <f t="shared" si="3"/>
        <v>5458.9502490319428</v>
      </c>
      <c r="D21" s="3">
        <f t="shared" si="1"/>
        <v>-22.157396581761532</v>
      </c>
      <c r="E21" s="3">
        <f t="shared" si="2"/>
        <v>-1</v>
      </c>
    </row>
    <row r="22" spans="1:5">
      <c r="A22" s="4">
        <f t="shared" si="0"/>
        <v>42730</v>
      </c>
      <c r="B22" s="3">
        <f>[1]!S_DQ_CLOSE($A$2,A22)</f>
        <v>5262</v>
      </c>
      <c r="C22" s="3">
        <f t="shared" si="3"/>
        <v>5432.4532161514062</v>
      </c>
      <c r="D22" s="3">
        <f t="shared" si="1"/>
        <v>-26.497032880536608</v>
      </c>
      <c r="E22" s="3">
        <f t="shared" si="2"/>
        <v>-1</v>
      </c>
    </row>
    <row r="23" spans="1:5">
      <c r="A23" s="4">
        <f t="shared" si="0"/>
        <v>42731</v>
      </c>
      <c r="B23" s="3">
        <f>[1]!S_DQ_CLOSE($A$2,A23)</f>
        <v>5364</v>
      </c>
      <c r="C23" s="3">
        <f>B23*($D$2-$D$2^2/4)+($D$2^2/2)*B22-($D$2-3/4*$D$2^2)*B21+2*(1-$D$2)*C22-(1-$D$2)^2*C21</f>
        <v>5415.1503096726447</v>
      </c>
      <c r="D23" s="3">
        <f>C23-C22</f>
        <v>-17.302906478761543</v>
      </c>
      <c r="E23" s="3">
        <f>IF(D23&lt;0,-1,1)</f>
        <v>-1</v>
      </c>
    </row>
    <row r="24" spans="1:5">
      <c r="A24" s="4">
        <f>GetBusinessDay(A23,1)</f>
        <v>42732</v>
      </c>
      <c r="B24" s="1">
        <f>[1]!S_DQ_CLOSE($A$2,A24)</f>
        <v>5454</v>
      </c>
      <c r="C24" s="1">
        <f>B24*($D$2-$D$2^2/4)+($D$2^2/2)*B23-($D$2-3/4*$D$2^2)*B22+2*(1-$D$2)*C23-(1-$D$2)^2*C22</f>
        <v>5422.3396548362534</v>
      </c>
      <c r="D24" s="1">
        <f>C24-C23</f>
        <v>7.1893451636087775</v>
      </c>
      <c r="E24" s="1">
        <f>IF(D24&lt;0,-1,1)</f>
        <v>1</v>
      </c>
    </row>
    <row r="25" spans="1:5">
      <c r="A25" s="11">
        <f>GetBusinessDay(A24,1)</f>
        <v>42733</v>
      </c>
      <c r="B25" s="1">
        <f>[1]!S_DQ_CLOSE($A$2,A25)</f>
        <v>5464</v>
      </c>
      <c r="C25" s="1">
        <f>B25*($D$2-$D$2^2/4)+($D$2^2/2)*B24-($D$2-3/4*$D$2^2)*B23+2*(1-$D$2)*C24-(1-$D$2)^2*C23</f>
        <v>5439.2338886457665</v>
      </c>
      <c r="D25" s="1">
        <f>C25-C24</f>
        <v>16.894233809513025</v>
      </c>
      <c r="E25" s="1">
        <f>IF(D25&lt;0,-1,1)</f>
        <v>1</v>
      </c>
    </row>
    <row r="26" spans="1:5">
      <c r="A26" s="11">
        <f>GetBusinessDay(A25,1)</f>
        <v>42734</v>
      </c>
      <c r="B26" s="1">
        <f>[1]!S_DQ_CLOSE($A$2,A26)</f>
        <v>5456</v>
      </c>
      <c r="C26" s="1">
        <f>B26*($D$2-$D$2^2/4)+($D$2^2/2)*B25-($D$2-3/4*$D$2^2)*B24+2*(1-$D$2)*C25-(1-$D$2)^2*C24</f>
        <v>5452.8700942006481</v>
      </c>
      <c r="D26" s="1">
        <f>C26-C25</f>
        <v>13.636205554881599</v>
      </c>
      <c r="E26" s="1">
        <f>IF(D26&lt;0,-1,1)</f>
        <v>1</v>
      </c>
    </row>
    <row r="27" spans="1:5">
      <c r="A27" s="11">
        <f>GetBusinessDay(A26,1)</f>
        <v>42738</v>
      </c>
      <c r="B27" s="1">
        <f>[1]!S_DQ_CLOSE($A$2,A27)</f>
        <v>5446</v>
      </c>
      <c r="C27" s="1">
        <f>B27*($D$2-$D$2^2/4)+($D$2^2/2)*B26-($D$2-3/4*$D$2^2)*B25+2*(1-$D$2)*C26-(1-$D$2)^2*C25</f>
        <v>5461.4982282191449</v>
      </c>
      <c r="D27" s="1">
        <f>C27-C26</f>
        <v>8.628134018496894</v>
      </c>
      <c r="E27" s="1">
        <f>IF(D27&lt;0,-1,1)</f>
        <v>1</v>
      </c>
    </row>
    <row r="28" spans="1:5">
      <c r="A28" s="11">
        <f>GetBusinessDay(A27,1)</f>
        <v>42739</v>
      </c>
      <c r="B28" s="1">
        <f>[1]!S_DQ_CLOSE($A$2,A28)</f>
        <v>5386</v>
      </c>
      <c r="C28" s="1">
        <f>B28*($D$2-$D$2^2/4)+($D$2^2/2)*B27-($D$2-3/4*$D$2^2)*B26+2*(1-$D$2)*C27-(1-$D$2)^2*C26</f>
        <v>5460.010048749773</v>
      </c>
      <c r="D28" s="1">
        <f>C28-C27</f>
        <v>-1.4881794693719712</v>
      </c>
      <c r="E28" s="1">
        <f>IF(D28&lt;0,-1,1)</f>
        <v>-1</v>
      </c>
    </row>
    <row r="29" spans="1:5">
      <c r="A29" s="11">
        <f>GetBusinessDay(A28,1)</f>
        <v>42740</v>
      </c>
      <c r="B29" s="1">
        <f>[1]!S_DQ_CLOSE($A$2,A29)</f>
        <v>5342</v>
      </c>
      <c r="C29" s="1">
        <f>B29*($D$2-$D$2^2/4)+($D$2^2/2)*B28-($D$2-3/4*$D$2^2)*B27+2*(1-$D$2)*C28-(1-$D$2)^2*C27</f>
        <v>5446.281921524499</v>
      </c>
      <c r="D29" s="1">
        <f>C29-C28</f>
        <v>-13.728127225273965</v>
      </c>
      <c r="E29" s="1">
        <f>IF(D29&lt;0,-1,1)</f>
        <v>-1</v>
      </c>
    </row>
    <row r="30" spans="1:5">
      <c r="A30" s="11">
        <f>GetBusinessDay(A29,1)</f>
        <v>42741</v>
      </c>
      <c r="B30" s="1">
        <f>[1]!S_DQ_CLOSE($A$2,A30)</f>
        <v>5352</v>
      </c>
      <c r="C30" s="1">
        <f>B30*($D$2-$D$2^2/4)+($D$2^2/2)*B29-($D$2-3/4*$D$2^2)*B28+2*(1-$D$2)*C29-(1-$D$2)^2*C28</f>
        <v>5430.550853002258</v>
      </c>
      <c r="D30" s="1">
        <f>C30-C29</f>
        <v>-15.731068522241003</v>
      </c>
      <c r="E30" s="1">
        <f>IF(D30&lt;0,-1,1)</f>
        <v>-1</v>
      </c>
    </row>
    <row r="31" spans="1:5">
      <c r="A31" s="11">
        <f>GetBusinessDay(A30,1)</f>
        <v>42744</v>
      </c>
      <c r="B31" s="1">
        <f>[1]!S_DQ_CLOSE($A$2,A31)</f>
        <v>5376</v>
      </c>
      <c r="C31" s="1">
        <f>B31*($D$2-$D$2^2/4)+($D$2^2/2)*B30-($D$2-3/4*$D$2^2)*B29+2*(1-$D$2)*C30-(1-$D$2)^2*C29</f>
        <v>5421.0615998104868</v>
      </c>
      <c r="D31" s="1">
        <f>C31-C30</f>
        <v>-9.4892531917712404</v>
      </c>
      <c r="E31" s="1">
        <f>IF(D31&lt;0,-1,1)</f>
        <v>-1</v>
      </c>
    </row>
    <row r="32" spans="1:5">
      <c r="A32" s="11">
        <f>GetBusinessDay(A31,1)</f>
        <v>42745</v>
      </c>
      <c r="B32" s="1">
        <f>[1]!S_DQ_CLOSE($A$2,A32)</f>
        <v>5334</v>
      </c>
      <c r="C32" s="1">
        <f>B32*($D$2-$D$2^2/4)+($D$2^2/2)*B31-($D$2-3/4*$D$2^2)*B30+2*(1-$D$2)*C31-(1-$D$2)^2*C30</f>
        <v>5410.8176354389516</v>
      </c>
      <c r="D32" s="1">
        <f>C32-C31</f>
        <v>-10.243964371535185</v>
      </c>
      <c r="E32" s="1">
        <f>IF(D32&lt;0,-1,1)</f>
        <v>-1</v>
      </c>
    </row>
    <row r="33" spans="1:5">
      <c r="A33" s="11">
        <f>GetBusinessDay(A32,1)</f>
        <v>42746</v>
      </c>
      <c r="B33" s="1">
        <f>[1]!S_DQ_CLOSE($A$2,A33)</f>
        <v>5418</v>
      </c>
      <c r="C33" s="1">
        <f>B33*($D$2-$D$2^2/4)+($D$2^2/2)*B32-($D$2-3/4*$D$2^2)*B31+2*(1-$D$2)*C32-(1-$D$2)^2*C31</f>
        <v>5406.9012305241913</v>
      </c>
      <c r="D33" s="1">
        <f>C33-C32</f>
        <v>-3.9164049147602782</v>
      </c>
      <c r="E33" s="1">
        <f>IF(D33&lt;0,-1,1)</f>
        <v>-1</v>
      </c>
    </row>
    <row r="34" spans="1:5">
      <c r="A34" s="11">
        <f>GetBusinessDay(A33,1)</f>
        <v>42747</v>
      </c>
      <c r="B34" s="1">
        <f>[1]!S_DQ_CLOSE($A$2,A34)</f>
        <v>5448</v>
      </c>
      <c r="C34" s="1">
        <f>B34*($D$2-$D$2^2/4)+($D$2^2/2)*B33-($D$2-3/4*$D$2^2)*B32+2*(1-$D$2)*C33-(1-$D$2)^2*C32</f>
        <v>5416.527680963949</v>
      </c>
      <c r="D34" s="1">
        <f>C34-C33</f>
        <v>9.6264504397577184</v>
      </c>
      <c r="E34" s="1">
        <f>IF(D34&lt;0,-1,1)</f>
        <v>1</v>
      </c>
    </row>
    <row r="35" spans="1:5">
      <c r="A35" s="11">
        <f>GetBusinessDay(A34,1)</f>
        <v>42748</v>
      </c>
      <c r="B35" s="1">
        <f>[1]!S_DQ_CLOSE($A$2,A35)</f>
        <v>5456</v>
      </c>
      <c r="C35" s="1">
        <f>B35*($D$2-$D$2^2/4)+($D$2^2/2)*B34-($D$2-3/4*$D$2^2)*B33+2*(1-$D$2)*C34-(1-$D$2)^2*C33</f>
        <v>5428.6076405084941</v>
      </c>
      <c r="D35" s="1">
        <f>C35-C34</f>
        <v>12.07995954454509</v>
      </c>
      <c r="E35" s="1">
        <f>IF(D35&lt;0,-1,1)</f>
        <v>1</v>
      </c>
    </row>
    <row r="36" spans="1:5">
      <c r="A36" s="11">
        <f>GetBusinessDay(A35,1)</f>
        <v>42751</v>
      </c>
      <c r="B36" s="1">
        <f>[1]!S_DQ_CLOSE($A$2,A36)</f>
        <v>5456</v>
      </c>
      <c r="C36" s="1">
        <f>B36*($D$2-$D$2^2/4)+($D$2^2/2)*B35-($D$2-3/4*$D$2^2)*B34+2*(1-$D$2)*C35-(1-$D$2)^2*C34</f>
        <v>5439.2430776580804</v>
      </c>
      <c r="D36" s="1">
        <f>C36-C35</f>
        <v>10.635437149586323</v>
      </c>
      <c r="E36" s="1">
        <f>IF(D36&lt;0,-1,1)</f>
        <v>1</v>
      </c>
    </row>
    <row r="37" spans="1:5">
      <c r="A37" s="11">
        <f>GetBusinessDay(A36,1)</f>
        <v>42752</v>
      </c>
      <c r="B37" s="1">
        <f>[1]!S_DQ_CLOSE($A$2,A37)</f>
        <v>5436</v>
      </c>
      <c r="C37" s="1">
        <f>B37*($D$2-$D$2^2/4)+($D$2^2/2)*B36-($D$2-3/4*$D$2^2)*B35+2*(1-$D$2)*C36-(1-$D$2)^2*C35</f>
        <v>5445.4444164098859</v>
      </c>
      <c r="D37" s="1">
        <f>C37-C36</f>
        <v>6.2013387518054515</v>
      </c>
      <c r="E37" s="1">
        <f>IF(D37&lt;0,-1,1)</f>
        <v>1</v>
      </c>
    </row>
    <row r="38" spans="1:5">
      <c r="A38" s="11">
        <f>GetBusinessDay(A37,1)</f>
        <v>42753</v>
      </c>
      <c r="B38" s="1">
        <f>[1]!S_DQ_CLOSE($A$2,A38)</f>
        <v>5416</v>
      </c>
      <c r="C38" s="1">
        <f>B38*($D$2-$D$2^2/4)+($D$2^2/2)*B37-($D$2-3/4*$D$2^2)*B36+2*(1-$D$2)*C37-(1-$D$2)^2*C36</f>
        <v>5445.6737050141446</v>
      </c>
      <c r="D38" s="1">
        <f>C38-C37</f>
        <v>0.22928860425872699</v>
      </c>
      <c r="E38" s="1">
        <f>IF(D38&lt;0,-1,1)</f>
        <v>1</v>
      </c>
    </row>
    <row r="39" spans="1:5">
      <c r="A39" s="11">
        <f>GetBusinessDay(A38,1)</f>
        <v>42754</v>
      </c>
      <c r="B39" s="1">
        <f>[1]!S_DQ_CLOSE($A$2,A39)</f>
        <v>5452</v>
      </c>
      <c r="C39" s="1">
        <f>B39*($D$2-$D$2^2/4)+($D$2^2/2)*B38-($D$2-3/4*$D$2^2)*B37+2*(1-$D$2)*C38-(1-$D$2)^2*C37</f>
        <v>5447.4149527906266</v>
      </c>
      <c r="D39" s="1">
        <f>C39-C38</f>
        <v>1.7412477764819414</v>
      </c>
      <c r="E39" s="1">
        <f>IF(D39&lt;0,-1,1)</f>
        <v>1</v>
      </c>
    </row>
    <row r="40" spans="1:5">
      <c r="A40" s="11">
        <f>GetBusinessDay(A39,1)</f>
        <v>42755</v>
      </c>
      <c r="B40" s="1">
        <f>[1]!S_DQ_CLOSE($A$2,A40)</f>
        <v>5400</v>
      </c>
      <c r="C40" s="1">
        <f>B40*($D$2-$D$2^2/4)+($D$2^2/2)*B39-($D$2-3/4*$D$2^2)*B38+2*(1-$D$2)*C39-(1-$D$2)^2*C38</f>
        <v>5446.7408076917718</v>
      </c>
      <c r="D40" s="1">
        <f>C40-C39</f>
        <v>-0.67414509885475127</v>
      </c>
      <c r="E40" s="1">
        <f>IF(D40&lt;0,-1,1)</f>
        <v>-1</v>
      </c>
    </row>
    <row r="41" spans="1:5">
      <c r="A41" s="11">
        <f>GetBusinessDay(A40,1)</f>
        <v>42758</v>
      </c>
      <c r="B41" s="1">
        <f>[1]!S_DQ_CLOSE($A$2,A41)</f>
        <v>5572</v>
      </c>
      <c r="C41" s="1">
        <f>B41*($D$2-$D$2^2/4)+($D$2^2/2)*B40-($D$2-3/4*$D$2^2)*B39+2*(1-$D$2)*C40-(1-$D$2)^2*C39</f>
        <v>5459.7191288876465</v>
      </c>
      <c r="D41" s="1">
        <f>C41-C40</f>
        <v>12.978321195874742</v>
      </c>
      <c r="E41" s="1">
        <f>IF(D41&lt;0,-1,1)</f>
        <v>1</v>
      </c>
    </row>
    <row r="42" spans="1:5">
      <c r="A42" s="11">
        <f>GetBusinessDay(A41,1)</f>
        <v>42759</v>
      </c>
      <c r="B42" s="1">
        <f>[1]!S_DQ_CLOSE($A$2,A42)</f>
        <v>5568</v>
      </c>
      <c r="C42" s="1">
        <f>B42*($D$2-$D$2^2/4)+($D$2^2/2)*B41-($D$2-3/4*$D$2^2)*B40+2*(1-$D$2)*C41-(1-$D$2)^2*C40</f>
        <v>5489.4842044582956</v>
      </c>
      <c r="D42" s="1">
        <f>C42-C41</f>
        <v>29.76507557064906</v>
      </c>
      <c r="E42" s="1">
        <f>IF(D42&lt;0,-1,1)</f>
        <v>1</v>
      </c>
    </row>
    <row r="43" spans="1:5">
      <c r="A43" s="11">
        <f>GetBusinessDay(A42,1)</f>
        <v>42760</v>
      </c>
      <c r="B43" s="1">
        <f>[1]!S_DQ_CLOSE($A$2,A43)</f>
        <v>5662</v>
      </c>
      <c r="C43" s="1">
        <f>B43*($D$2-$D$2^2/4)+($D$2^2/2)*B42-($D$2-3/4*$D$2^2)*B41+2*(1-$D$2)*C42-(1-$D$2)^2*C41</f>
        <v>5524.0900974135729</v>
      </c>
      <c r="D43" s="1">
        <f>C43-C42</f>
        <v>34.605892955277341</v>
      </c>
      <c r="E43" s="1">
        <f>IF(D43&lt;0,-1,1)</f>
        <v>1</v>
      </c>
    </row>
    <row r="44" spans="1:5">
      <c r="A44" s="11">
        <f>GetBusinessDay(A43,1)</f>
        <v>42761</v>
      </c>
      <c r="B44" s="1">
        <f>[1]!S_DQ_CLOSE($A$2,A44)</f>
        <v>5656</v>
      </c>
      <c r="C44" s="1">
        <f>B44*($D$2-$D$2^2/4)+($D$2^2/2)*B43-($D$2-3/4*$D$2^2)*B42+2*(1-$D$2)*C43-(1-$D$2)^2*C42</f>
        <v>5562.373875689188</v>
      </c>
      <c r="D44" s="1">
        <f>C44-C43</f>
        <v>38.283778275615077</v>
      </c>
      <c r="E44" s="1">
        <f>IF(D44&lt;0,-1,1)</f>
        <v>1</v>
      </c>
    </row>
    <row r="45" spans="1:5">
      <c r="A45" s="11">
        <f>GetBusinessDay(A44,1)</f>
        <v>42769</v>
      </c>
      <c r="B45" s="1">
        <f>[1]!S_DQ_CLOSE($A$2,A45)</f>
        <v>5652</v>
      </c>
      <c r="C45" s="1">
        <f>B45*($D$2-$D$2^2/4)+($D$2^2/2)*B44-($D$2-3/4*$D$2^2)*B43+2*(1-$D$2)*C44-(1-$D$2)^2*C43</f>
        <v>5592.3315769280307</v>
      </c>
      <c r="D45" s="1">
        <f>C45-C44</f>
        <v>29.957701238842674</v>
      </c>
      <c r="E45" s="1">
        <f>IF(D45&lt;0,-1,1)</f>
        <v>1</v>
      </c>
    </row>
    <row r="46" spans="1:5">
      <c r="A46" s="11">
        <f>GetBusinessDay(A45,1)</f>
        <v>42772</v>
      </c>
      <c r="B46" s="1">
        <f>[1]!S_DQ_CLOSE($A$2,A46)</f>
        <v>5784</v>
      </c>
      <c r="C46" s="1">
        <f>B46*($D$2-$D$2^2/4)+($D$2^2/2)*B45-($D$2-3/4*$D$2^2)*B44+2*(1-$D$2)*C45-(1-$D$2)^2*C44</f>
        <v>5631.1905780286925</v>
      </c>
      <c r="D46" s="1">
        <f>C46-C45</f>
        <v>38.859001100661771</v>
      </c>
      <c r="E46" s="1">
        <f>IF(D46&lt;0,-1,1)</f>
        <v>1</v>
      </c>
    </row>
    <row r="47" spans="1:5">
      <c r="A47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10"/>
  <sheetViews>
    <sheetView topLeftCell="A25" workbookViewId="0">
      <selection activeCell="D46" sqref="D46"/>
    </sheetView>
  </sheetViews>
  <sheetFormatPr defaultRowHeight="13.5"/>
  <cols>
    <col min="1" max="1" width="40.875" style="47" bestFit="1" customWidth="1"/>
    <col min="2" max="2" width="9.25" style="47" bestFit="1" customWidth="1"/>
    <col min="3" max="3" width="14.5" style="47" bestFit="1" customWidth="1"/>
    <col min="4" max="4" width="15.125" style="47" bestFit="1" customWidth="1"/>
    <col min="5" max="16384" width="9" style="47"/>
  </cols>
  <sheetData>
    <row r="1" spans="1:5">
      <c r="A1" s="43" t="s">
        <v>23</v>
      </c>
      <c r="B1" s="44"/>
      <c r="C1" s="44" t="s">
        <v>5</v>
      </c>
      <c r="D1" s="45" t="s">
        <v>6</v>
      </c>
      <c r="E1" s="46"/>
    </row>
    <row r="2" spans="1:5" ht="14.25" thickBot="1">
      <c r="A2" s="48" t="s">
        <v>24</v>
      </c>
      <c r="B2" s="49"/>
      <c r="C2" s="49">
        <v>0.83442530633622092</v>
      </c>
      <c r="D2" s="49">
        <f>2/(C2+1)</f>
        <v>1.0902597086356549</v>
      </c>
      <c r="E2" s="46"/>
    </row>
    <row r="3" spans="1:5">
      <c r="A3" s="46" t="s">
        <v>7</v>
      </c>
      <c r="B3" s="46" t="s">
        <v>8</v>
      </c>
      <c r="C3" s="46" t="s">
        <v>9</v>
      </c>
      <c r="D3" s="46" t="s">
        <v>10</v>
      </c>
      <c r="E3" s="46" t="s">
        <v>13</v>
      </c>
    </row>
    <row r="4" spans="1:5">
      <c r="A4" s="46"/>
      <c r="B4" s="46"/>
      <c r="C4" s="46"/>
      <c r="D4" s="46"/>
      <c r="E4" s="46"/>
    </row>
    <row r="5" spans="1:5">
      <c r="A5" s="50" t="s">
        <v>12</v>
      </c>
      <c r="B5" s="46">
        <f>[1]!S_DQ_CLOSE($A$2,A5)</f>
        <v>2513</v>
      </c>
      <c r="C5" s="46">
        <v>2505.7784544977922</v>
      </c>
      <c r="D5" s="46"/>
      <c r="E5" s="46"/>
    </row>
    <row r="6" spans="1:5">
      <c r="A6" s="50">
        <f>GetBusinessDay(A5,1)</f>
        <v>42706</v>
      </c>
      <c r="B6" s="46">
        <f>[1]!S_DQ_CLOSE($A$2,A6)</f>
        <v>2580</v>
      </c>
      <c r="C6" s="46">
        <v>2572.8836423703369</v>
      </c>
      <c r="D6" s="46">
        <f>C6-C5</f>
        <v>67.105187872544775</v>
      </c>
      <c r="E6" s="46">
        <f>IF(D6&lt;0,-1,1)</f>
        <v>1</v>
      </c>
    </row>
    <row r="7" spans="1:5">
      <c r="A7" s="50">
        <f t="shared" ref="A7:A23" si="0">GetBusinessDay(A6,1)</f>
        <v>42709</v>
      </c>
      <c r="B7" s="46">
        <f>[1]!S_DQ_CLOSE($A$2,A7)</f>
        <v>2660</v>
      </c>
      <c r="C7" s="46">
        <f>B7*($D$2-$D$2^2/4)+($D$2^2/2)*B6-($D$2-3/4*$D$2^2)*B5+2*(1-$D$2)*C6-(1-$D$2)^2*C5</f>
        <v>2658.6536842850155</v>
      </c>
      <c r="D7" s="46">
        <f t="shared" ref="D7:D22" si="1">C7-C6</f>
        <v>85.770041914678586</v>
      </c>
      <c r="E7" s="46">
        <f t="shared" ref="E7:E22" si="2">IF(D7&lt;0,-1,1)</f>
        <v>1</v>
      </c>
    </row>
    <row r="8" spans="1:5">
      <c r="A8" s="50">
        <f t="shared" si="0"/>
        <v>42710</v>
      </c>
      <c r="B8" s="46">
        <f>[1]!S_DQ_CLOSE($A$2,A8)</f>
        <v>2747</v>
      </c>
      <c r="C8" s="46">
        <f t="shared" ref="C8:C22" si="3">B8*($D$2-$D$2^2/4)+($D$2^2/2)*B7-($D$2-3/4*$D$2^2)*B6+2*(1-$D$2)*C7-(1-$D$2)^2*C6</f>
        <v>2745.8526638314061</v>
      </c>
      <c r="D8" s="46">
        <f t="shared" si="1"/>
        <v>87.198979546390547</v>
      </c>
      <c r="E8" s="46">
        <f t="shared" si="2"/>
        <v>1</v>
      </c>
    </row>
    <row r="9" spans="1:5">
      <c r="A9" s="50">
        <f t="shared" si="0"/>
        <v>42711</v>
      </c>
      <c r="B9" s="46">
        <f>[1]!S_DQ_CLOSE($A$2,A9)</f>
        <v>2848</v>
      </c>
      <c r="C9" s="46">
        <f t="shared" si="3"/>
        <v>2845.3213887495735</v>
      </c>
      <c r="D9" s="46">
        <f t="shared" si="1"/>
        <v>99.468724918167482</v>
      </c>
      <c r="E9" s="46">
        <f t="shared" si="2"/>
        <v>1</v>
      </c>
    </row>
    <row r="10" spans="1:5">
      <c r="A10" s="50">
        <f t="shared" si="0"/>
        <v>42712</v>
      </c>
      <c r="B10" s="46">
        <f>[1]!S_DQ_CLOSE($A$2,A10)</f>
        <v>2822</v>
      </c>
      <c r="C10" s="46">
        <f t="shared" si="3"/>
        <v>2848.7700583555156</v>
      </c>
      <c r="D10" s="46">
        <f t="shared" si="1"/>
        <v>3.4486696059420865</v>
      </c>
      <c r="E10" s="46">
        <f t="shared" si="2"/>
        <v>1</v>
      </c>
    </row>
    <row r="11" spans="1:5">
      <c r="A11" s="50">
        <f t="shared" si="0"/>
        <v>42713</v>
      </c>
      <c r="B11" s="46">
        <f>[1]!S_DQ_CLOSE($A$2,A11)</f>
        <v>2853</v>
      </c>
      <c r="C11" s="46">
        <f t="shared" si="3"/>
        <v>2836.3956163979888</v>
      </c>
      <c r="D11" s="46">
        <f t="shared" si="1"/>
        <v>-12.374441957526869</v>
      </c>
      <c r="E11" s="46">
        <f t="shared" si="2"/>
        <v>-1</v>
      </c>
    </row>
    <row r="12" spans="1:5">
      <c r="A12" s="50">
        <f t="shared" si="0"/>
        <v>42716</v>
      </c>
      <c r="B12" s="46">
        <f>[1]!S_DQ_CLOSE($A$2,A12)</f>
        <v>2874</v>
      </c>
      <c r="C12" s="46">
        <f t="shared" si="3"/>
        <v>2878.8483914332714</v>
      </c>
      <c r="D12" s="46">
        <f t="shared" si="1"/>
        <v>42.452775035282684</v>
      </c>
      <c r="E12" s="46">
        <f t="shared" si="2"/>
        <v>1</v>
      </c>
    </row>
    <row r="13" spans="1:5">
      <c r="A13" s="50">
        <f t="shared" si="0"/>
        <v>42717</v>
      </c>
      <c r="B13" s="46">
        <f>[1]!S_DQ_CLOSE($A$2,A13)</f>
        <v>2883</v>
      </c>
      <c r="C13" s="46">
        <f t="shared" si="3"/>
        <v>2884.7429262384017</v>
      </c>
      <c r="D13" s="46">
        <f t="shared" si="1"/>
        <v>5.8945348051302062</v>
      </c>
      <c r="E13" s="46">
        <f t="shared" si="2"/>
        <v>1</v>
      </c>
    </row>
    <row r="14" spans="1:5">
      <c r="A14" s="50">
        <f t="shared" si="0"/>
        <v>42718</v>
      </c>
      <c r="B14" s="46">
        <f>[1]!S_DQ_CLOSE($A$2,A14)</f>
        <v>2974</v>
      </c>
      <c r="C14" s="46">
        <f t="shared" si="3"/>
        <v>2956.6795073695275</v>
      </c>
      <c r="D14" s="46">
        <f t="shared" si="1"/>
        <v>71.936581131125877</v>
      </c>
      <c r="E14" s="46">
        <f t="shared" si="2"/>
        <v>1</v>
      </c>
    </row>
    <row r="15" spans="1:5">
      <c r="A15" s="50">
        <f t="shared" si="0"/>
        <v>42719</v>
      </c>
      <c r="B15" s="46">
        <f>[1]!S_DQ_CLOSE($A$2,A15)</f>
        <v>2973</v>
      </c>
      <c r="C15" s="46">
        <f t="shared" si="3"/>
        <v>2995.1479160867048</v>
      </c>
      <c r="D15" s="46">
        <f t="shared" si="1"/>
        <v>38.468408717177226</v>
      </c>
      <c r="E15" s="46">
        <f t="shared" si="2"/>
        <v>1</v>
      </c>
    </row>
    <row r="16" spans="1:5">
      <c r="A16" s="50">
        <f t="shared" si="0"/>
        <v>42720</v>
      </c>
      <c r="B16" s="46">
        <f>[1]!S_DQ_CLOSE($A$2,A16)</f>
        <v>2960</v>
      </c>
      <c r="C16" s="46">
        <f t="shared" si="3"/>
        <v>2958.6258601366703</v>
      </c>
      <c r="D16" s="46">
        <f t="shared" si="1"/>
        <v>-36.522055950034428</v>
      </c>
      <c r="E16" s="46">
        <f t="shared" si="2"/>
        <v>-1</v>
      </c>
    </row>
    <row r="17" spans="1:5">
      <c r="A17" s="50">
        <f t="shared" si="0"/>
        <v>42723</v>
      </c>
      <c r="B17" s="46">
        <f>[1]!S_DQ_CLOSE($A$2,A17)</f>
        <v>2822</v>
      </c>
      <c r="C17" s="46">
        <f t="shared" si="3"/>
        <v>2847.9309801314321</v>
      </c>
      <c r="D17" s="46">
        <f t="shared" si="1"/>
        <v>-110.69488000523825</v>
      </c>
      <c r="E17" s="46">
        <f t="shared" si="2"/>
        <v>-1</v>
      </c>
    </row>
    <row r="18" spans="1:5">
      <c r="A18" s="50">
        <f t="shared" si="0"/>
        <v>42724</v>
      </c>
      <c r="B18" s="46">
        <f>[1]!S_DQ_CLOSE($A$2,A18)</f>
        <v>2813</v>
      </c>
      <c r="C18" s="46">
        <f t="shared" si="3"/>
        <v>2781.6391658638081</v>
      </c>
      <c r="D18" s="46">
        <f t="shared" si="1"/>
        <v>-66.291814267623977</v>
      </c>
      <c r="E18" s="46">
        <f t="shared" si="2"/>
        <v>-1</v>
      </c>
    </row>
    <row r="19" spans="1:5">
      <c r="A19" s="50">
        <f t="shared" si="0"/>
        <v>42725</v>
      </c>
      <c r="B19" s="46">
        <f>[1]!S_DQ_CLOSE($A$2,A19)</f>
        <v>2810</v>
      </c>
      <c r="C19" s="46">
        <f t="shared" si="3"/>
        <v>2814.208543508832</v>
      </c>
      <c r="D19" s="46">
        <f t="shared" si="1"/>
        <v>32.569377645023906</v>
      </c>
      <c r="E19" s="46">
        <f t="shared" si="2"/>
        <v>1</v>
      </c>
    </row>
    <row r="20" spans="1:5">
      <c r="A20" s="50">
        <f t="shared" si="0"/>
        <v>42726</v>
      </c>
      <c r="B20" s="46">
        <f>[1]!S_DQ_CLOSE($A$2,A20)</f>
        <v>2800</v>
      </c>
      <c r="C20" s="46">
        <f t="shared" si="3"/>
        <v>2800.9441150383018</v>
      </c>
      <c r="D20" s="46">
        <f t="shared" si="1"/>
        <v>-13.26442847053022</v>
      </c>
      <c r="E20" s="46">
        <f t="shared" si="2"/>
        <v>-1</v>
      </c>
    </row>
    <row r="21" spans="1:5">
      <c r="A21" s="50">
        <f t="shared" si="0"/>
        <v>42727</v>
      </c>
      <c r="B21" s="46">
        <f>[1]!S_DQ_CLOSE($A$2,A21)</f>
        <v>2737</v>
      </c>
      <c r="C21" s="46">
        <f t="shared" si="3"/>
        <v>2747.7613456979948</v>
      </c>
      <c r="D21" s="46">
        <f t="shared" si="1"/>
        <v>-53.182769340307004</v>
      </c>
      <c r="E21" s="46">
        <f t="shared" si="2"/>
        <v>-1</v>
      </c>
    </row>
    <row r="22" spans="1:5">
      <c r="A22" s="50">
        <f t="shared" si="0"/>
        <v>42730</v>
      </c>
      <c r="B22" s="46">
        <f>[1]!S_DQ_CLOSE($A$2,A22)</f>
        <v>2747</v>
      </c>
      <c r="C22" s="46">
        <f t="shared" si="3"/>
        <v>2729.9454766063809</v>
      </c>
      <c r="D22" s="46">
        <f t="shared" si="1"/>
        <v>-17.815869091613877</v>
      </c>
      <c r="E22" s="46">
        <f t="shared" si="2"/>
        <v>-1</v>
      </c>
    </row>
    <row r="23" spans="1:5">
      <c r="A23" s="50">
        <f t="shared" si="0"/>
        <v>42731</v>
      </c>
      <c r="B23" s="46">
        <f>[1]!S_DQ_CLOSE($A$2,A23)</f>
        <v>2852</v>
      </c>
      <c r="C23" s="46">
        <f>B23*($D$2-$D$2^2/4)+($D$2^2/2)*B22-($D$2-3/4*$D$2^2)*B21+2*(1-$D$2)*C22-(1-$D$2)^2*C21</f>
        <v>2835.3348512361435</v>
      </c>
      <c r="D23" s="46">
        <f>C23-C22</f>
        <v>105.38937462976264</v>
      </c>
      <c r="E23" s="46">
        <f>IF(D23&lt;0,-1,1)</f>
        <v>1</v>
      </c>
    </row>
    <row r="24" spans="1:5">
      <c r="A24" s="50">
        <f>GetBusinessDay(A23,1)</f>
        <v>42732</v>
      </c>
      <c r="B24" s="47">
        <f>[1]!S_DQ_CLOSE($A$2,A24)</f>
        <v>2856</v>
      </c>
      <c r="C24" s="47">
        <f>B24*($D$2-$D$2^2/4)+($D$2^2/2)*B23-($D$2-3/4*$D$2^2)*B22+2*(1-$D$2)*C23-(1-$D$2)^2*C22</f>
        <v>2880.0449147833683</v>
      </c>
      <c r="D24" s="47">
        <f>C24-C23</f>
        <v>44.710063547224763</v>
      </c>
      <c r="E24" s="47">
        <f>IF(D24&lt;0,-1,1)</f>
        <v>1</v>
      </c>
    </row>
    <row r="25" spans="1:5">
      <c r="A25" s="51">
        <f>GetBusinessDay(A24,1)</f>
        <v>42733</v>
      </c>
      <c r="B25" s="47">
        <f>[1]!S_DQ_CLOSE($A$2,A25)</f>
        <v>2849</v>
      </c>
      <c r="C25" s="47">
        <f>B25*($D$2-$D$2^2/4)+($D$2^2/2)*B24-($D$2-3/4*$D$2^2)*B23+2*(1-$D$2)*C24-(1-$D$2)^2*C23</f>
        <v>2847.071169222706</v>
      </c>
      <c r="D25" s="47">
        <f>C25-C24</f>
        <v>-32.973745560662337</v>
      </c>
      <c r="E25" s="47">
        <f>IF(D25&lt;0,-1,1)</f>
        <v>-1</v>
      </c>
    </row>
    <row r="26" spans="1:5">
      <c r="A26" s="51">
        <f>GetBusinessDay(A25,1)</f>
        <v>42734</v>
      </c>
      <c r="B26" s="47">
        <f>[1]!S_DQ_CLOSE($A$2,A26)</f>
        <v>2731</v>
      </c>
      <c r="C26" s="47">
        <f>B26*($D$2-$D$2^2/4)+($D$2^2/2)*B25-($D$2-3/4*$D$2^2)*B24+2*(1-$D$2)*C25-(1-$D$2)^2*C24</f>
        <v>2754.1189622224829</v>
      </c>
      <c r="D26" s="47">
        <f>C26-C25</f>
        <v>-92.952207000223098</v>
      </c>
      <c r="E26" s="47">
        <f>IF(D26&lt;0,-1,1)</f>
        <v>-1</v>
      </c>
    </row>
    <row r="27" spans="1:5">
      <c r="A27" s="51">
        <f>GetBusinessDay(A26,1)</f>
        <v>42738</v>
      </c>
      <c r="B27" s="47">
        <f>[1]!S_DQ_CLOSE($A$2,A27)</f>
        <v>2667</v>
      </c>
      <c r="C27" s="47">
        <f>B27*($D$2-$D$2^2/4)+($D$2^2/2)*B26-($D$2-3/4*$D$2^2)*B25+2*(1-$D$2)*C26-(1-$D$2)^2*C25</f>
        <v>2651.6693223698167</v>
      </c>
      <c r="D27" s="47">
        <f>C27-C26</f>
        <v>-102.44963985266622</v>
      </c>
      <c r="E27" s="47">
        <f>IF(D27&lt;0,-1,1)</f>
        <v>-1</v>
      </c>
    </row>
    <row r="28" spans="1:5">
      <c r="A28" s="51">
        <f>GetBusinessDay(A27,1)</f>
        <v>42739</v>
      </c>
      <c r="B28" s="47">
        <f>[1]!S_DQ_CLOSE($A$2,A28)</f>
        <v>2670</v>
      </c>
      <c r="C28" s="47">
        <f>B28*($D$2-$D$2^2/4)+($D$2^2/2)*B27-($D$2-3/4*$D$2^2)*B26+2*(1-$D$2)*C27-(1-$D$2)^2*C26</f>
        <v>2658.7163801718816</v>
      </c>
      <c r="D28" s="47">
        <f>C28-C27</f>
        <v>7.0470578020649555</v>
      </c>
      <c r="E28" s="47">
        <f>IF(D28&lt;0,-1,1)</f>
        <v>1</v>
      </c>
    </row>
    <row r="29" spans="1:5">
      <c r="A29" s="51">
        <f>GetBusinessDay(A28,1)</f>
        <v>42740</v>
      </c>
      <c r="B29" s="47">
        <f>[1]!S_DQ_CLOSE($A$2,A29)</f>
        <v>2661</v>
      </c>
      <c r="C29" s="47">
        <f>B29*($D$2-$D$2^2/4)+($D$2^2/2)*B28-($D$2-3/4*$D$2^2)*B27+2*(1-$D$2)*C28-(1-$D$2)^2*C27</f>
        <v>2665.6446908638013</v>
      </c>
      <c r="D29" s="47">
        <f>C29-C28</f>
        <v>6.9283106919197053</v>
      </c>
      <c r="E29" s="47">
        <f>IF(D29&lt;0,-1,1)</f>
        <v>1</v>
      </c>
    </row>
    <row r="30" spans="1:5">
      <c r="A30" s="51">
        <f>GetBusinessDay(A29,1)</f>
        <v>42741</v>
      </c>
      <c r="B30" s="47">
        <f>[1]!S_DQ_CLOSE($A$2,A30)</f>
        <v>2646</v>
      </c>
      <c r="C30" s="47">
        <f>B30*($D$2-$D$2^2/4)+($D$2^2/2)*B29-($D$2-3/4*$D$2^2)*B28+2*(1-$D$2)*C29-(1-$D$2)^2*C28</f>
        <v>2646.4949097717627</v>
      </c>
      <c r="D30" s="47">
        <f>C30-C29</f>
        <v>-19.149781092038666</v>
      </c>
      <c r="E30" s="47">
        <f>IF(D30&lt;0,-1,1)</f>
        <v>-1</v>
      </c>
    </row>
    <row r="31" spans="1:5">
      <c r="A31" s="51">
        <f>GetBusinessDay(A30,1)</f>
        <v>42744</v>
      </c>
      <c r="B31" s="47">
        <f>[1]!S_DQ_CLOSE($A$2,A31)</f>
        <v>2716</v>
      </c>
      <c r="C31" s="47">
        <f>B31*($D$2-$D$2^2/4)+($D$2^2/2)*B30-($D$2-3/4*$D$2^2)*B29+2*(1-$D$2)*C30-(1-$D$2)^2*C29</f>
        <v>2698.2857375373874</v>
      </c>
      <c r="D31" s="47">
        <f>C31-C30</f>
        <v>51.790827765624726</v>
      </c>
      <c r="E31" s="47">
        <f>IF(D31&lt;0,-1,1)</f>
        <v>1</v>
      </c>
    </row>
    <row r="32" spans="1:5">
      <c r="A32" s="51">
        <f>GetBusinessDay(A31,1)</f>
        <v>42745</v>
      </c>
      <c r="B32" s="47">
        <f>[1]!S_DQ_CLOSE($A$2,A32)</f>
        <v>2713</v>
      </c>
      <c r="C32" s="47">
        <f>B32*($D$2-$D$2^2/4)+($D$2^2/2)*B31-($D$2-3/4*$D$2^2)*B30+2*(1-$D$2)*C31-(1-$D$2)^2*C30</f>
        <v>2731.2979364073908</v>
      </c>
      <c r="D32" s="47">
        <f>C32-C31</f>
        <v>33.012198870003431</v>
      </c>
      <c r="E32" s="47">
        <f>IF(D32&lt;0,-1,1)</f>
        <v>1</v>
      </c>
    </row>
    <row r="33" spans="1:5">
      <c r="A33" s="51">
        <f>GetBusinessDay(A32,1)</f>
        <v>42746</v>
      </c>
      <c r="B33" s="47">
        <f>[1]!S_DQ_CLOSE($A$2,A33)</f>
        <v>2690</v>
      </c>
      <c r="C33" s="47">
        <f>B33*($D$2-$D$2^2/4)+($D$2^2/2)*B32-($D$2-3/4*$D$2^2)*B31+2*(1-$D$2)*C32-(1-$D$2)^2*C31</f>
        <v>2690.9793189903262</v>
      </c>
      <c r="D33" s="47">
        <f>C33-C32</f>
        <v>-40.318617417064615</v>
      </c>
      <c r="E33" s="47">
        <f>IF(D33&lt;0,-1,1)</f>
        <v>-1</v>
      </c>
    </row>
    <row r="34" spans="1:5">
      <c r="A34" s="51">
        <f>GetBusinessDay(A33,1)</f>
        <v>42747</v>
      </c>
      <c r="B34" s="47">
        <f>[1]!S_DQ_CLOSE($A$2,A34)</f>
        <v>2741</v>
      </c>
      <c r="C34" s="47">
        <f>B34*($D$2-$D$2^2/4)+($D$2^2/2)*B33-($D$2-3/4*$D$2^2)*B32+2*(1-$D$2)*C33-(1-$D$2)^2*C32</f>
        <v>2725.3630371456597</v>
      </c>
      <c r="D34" s="47">
        <f>C34-C33</f>
        <v>34.383718155333554</v>
      </c>
      <c r="E34" s="47">
        <f>IF(D34&lt;0,-1,1)</f>
        <v>1</v>
      </c>
    </row>
    <row r="35" spans="1:5">
      <c r="A35" s="51">
        <f>GetBusinessDay(A34,1)</f>
        <v>42748</v>
      </c>
      <c r="B35" s="47">
        <f>[1]!S_DQ_CLOSE($A$2,A35)</f>
        <v>2759</v>
      </c>
      <c r="C35" s="47">
        <f>B35*($D$2-$D$2^2/4)+($D$2^2/2)*B34-($D$2-3/4*$D$2^2)*B33+2*(1-$D$2)*C34-(1-$D$2)^2*C33</f>
        <v>2768.6427231230014</v>
      </c>
      <c r="D35" s="47">
        <f>C35-C34</f>
        <v>43.279685977341614</v>
      </c>
      <c r="E35" s="47">
        <f>IF(D35&lt;0,-1,1)</f>
        <v>1</v>
      </c>
    </row>
    <row r="36" spans="1:5">
      <c r="A36" s="51">
        <f>GetBusinessDay(A35,1)</f>
        <v>42751</v>
      </c>
      <c r="B36" s="47">
        <f>[1]!S_DQ_CLOSE($A$2,A36)</f>
        <v>2870</v>
      </c>
      <c r="C36" s="47">
        <f>B36*($D$2-$D$2^2/4)+($D$2^2/2)*B35-($D$2-3/4*$D$2^2)*B34+2*(1-$D$2)*C35-(1-$D$2)^2*C34</f>
        <v>2849.1443556872482</v>
      </c>
      <c r="D36" s="47">
        <f>C36-C35</f>
        <v>80.501632564246847</v>
      </c>
      <c r="E36" s="47">
        <f>IF(D36&lt;0,-1,1)</f>
        <v>1</v>
      </c>
    </row>
    <row r="37" spans="1:5">
      <c r="A37" s="51">
        <f>GetBusinessDay(A36,1)</f>
        <v>42752</v>
      </c>
      <c r="B37" s="47">
        <f>[1]!S_DQ_CLOSE($A$2,A37)</f>
        <v>2831</v>
      </c>
      <c r="C37" s="47">
        <f>B37*($D$2-$D$2^2/4)+($D$2^2/2)*B36-($D$2-3/4*$D$2^2)*B35+2*(1-$D$2)*C36-(1-$D$2)^2*C35</f>
        <v>2865.7223186916849</v>
      </c>
      <c r="D37" s="47">
        <f>C37-C36</f>
        <v>16.577963004436697</v>
      </c>
      <c r="E37" s="47">
        <f>IF(D37&lt;0,-1,1)</f>
        <v>1</v>
      </c>
    </row>
    <row r="38" spans="1:5">
      <c r="A38" s="51">
        <f>GetBusinessDay(A37,1)</f>
        <v>42753</v>
      </c>
      <c r="B38" s="47">
        <f>[1]!S_DQ_CLOSE($A$2,A38)</f>
        <v>2838</v>
      </c>
      <c r="C38" s="47">
        <f>B38*($D$2-$D$2^2/4)+($D$2^2/2)*B37-($D$2-3/4*$D$2^2)*B36+2*(1-$D$2)*C37-(1-$D$2)^2*C36</f>
        <v>2822.3841392655377</v>
      </c>
      <c r="D38" s="47">
        <f>C38-C37</f>
        <v>-43.338179426147235</v>
      </c>
      <c r="E38" s="47">
        <f>IF(D38&lt;0,-1,1)</f>
        <v>-1</v>
      </c>
    </row>
    <row r="39" spans="1:5">
      <c r="A39" s="51">
        <f>GetBusinessDay(A38,1)</f>
        <v>42754</v>
      </c>
      <c r="B39" s="47">
        <f>[1]!S_DQ_CLOSE($A$2,A39)</f>
        <v>2793</v>
      </c>
      <c r="C39" s="47">
        <f>B39*($D$2-$D$2^2/4)+($D$2^2/2)*B38-($D$2-3/4*$D$2^2)*B37+2*(1-$D$2)*C38-(1-$D$2)^2*C37</f>
        <v>2806.2952459436306</v>
      </c>
      <c r="D39" s="47">
        <f>C39-C38</f>
        <v>-16.088893321907108</v>
      </c>
      <c r="E39" s="47">
        <f>IF(D39&lt;0,-1,1)</f>
        <v>-1</v>
      </c>
    </row>
    <row r="40" spans="1:5">
      <c r="A40" s="51">
        <f>GetBusinessDay(A39,1)</f>
        <v>42755</v>
      </c>
      <c r="B40" s="47">
        <f>[1]!S_DQ_CLOSE($A$2,A40)</f>
        <v>2803</v>
      </c>
      <c r="C40" s="47">
        <f>B40*($D$2-$D$2^2/4)+($D$2^2/2)*B39-($D$2-3/4*$D$2^2)*B38+2*(1-$D$2)*C39-(1-$D$2)^2*C38</f>
        <v>2789.3472927594821</v>
      </c>
      <c r="D40" s="47">
        <f>C40-C39</f>
        <v>-16.947953184148446</v>
      </c>
      <c r="E40" s="47">
        <f>IF(D40&lt;0,-1,1)</f>
        <v>-1</v>
      </c>
    </row>
    <row r="41" spans="1:5">
      <c r="A41" s="51">
        <f>GetBusinessDay(A40,1)</f>
        <v>42758</v>
      </c>
      <c r="B41" s="47">
        <f>[1]!S_DQ_CLOSE($A$2,A41)</f>
        <v>2848</v>
      </c>
      <c r="C41" s="47">
        <f>B41*($D$2-$D$2^2/4)+($D$2^2/2)*B40-($D$2-3/4*$D$2^2)*B39+2*(1-$D$2)*C40-(1-$D$2)^2*C39</f>
        <v>2843.1145251159592</v>
      </c>
      <c r="D41" s="47">
        <f>C41-C40</f>
        <v>53.767232356477052</v>
      </c>
      <c r="E41" s="47">
        <f>IF(D41&lt;0,-1,1)</f>
        <v>1</v>
      </c>
    </row>
    <row r="42" spans="1:5">
      <c r="A42" s="51">
        <f>GetBusinessDay(A41,1)</f>
        <v>42759</v>
      </c>
      <c r="B42" s="47">
        <f>[1]!S_DQ_CLOSE($A$2,A42)</f>
        <v>2855</v>
      </c>
      <c r="C42" s="47">
        <f>B42*($D$2-$D$2^2/4)+($D$2^2/2)*B41-($D$2-3/4*$D$2^2)*B40+2*(1-$D$2)*C41-(1-$D$2)^2*C40</f>
        <v>2863.85560943779</v>
      </c>
      <c r="D42" s="47">
        <f>C42-C41</f>
        <v>20.74108432183084</v>
      </c>
      <c r="E42" s="47">
        <f>IF(D42&lt;0,-1,1)</f>
        <v>1</v>
      </c>
    </row>
    <row r="43" spans="1:5">
      <c r="A43" s="51">
        <f>GetBusinessDay(A42,1)</f>
        <v>42760</v>
      </c>
      <c r="B43" s="47">
        <f>[1]!S_DQ_CLOSE($A$2,A43)</f>
        <v>2935</v>
      </c>
      <c r="C43" s="47">
        <f>B43*($D$2-$D$2^2/4)+($D$2^2/2)*B42-($D$2-3/4*$D$2^2)*B41+2*(1-$D$2)*C42-(1-$D$2)^2*C41</f>
        <v>2918.3369915961862</v>
      </c>
      <c r="D43" s="47">
        <f>C43-C42</f>
        <v>54.481382158396173</v>
      </c>
      <c r="E43" s="47">
        <f>IF(D43&lt;0,-1,1)</f>
        <v>1</v>
      </c>
    </row>
    <row r="44" spans="1:5">
      <c r="A44" s="51">
        <f>GetBusinessDay(A43,1)</f>
        <v>42761</v>
      </c>
      <c r="B44" s="47">
        <f>[1]!S_DQ_CLOSE($A$2,A44)</f>
        <v>2929</v>
      </c>
      <c r="C44" s="47">
        <f>B44*($D$2-$D$2^2/4)+($D$2^2/2)*B43-($D$2-3/4*$D$2^2)*B42+2*(1-$D$2)*C43-(1-$D$2)^2*C42</f>
        <v>2949.7298406064451</v>
      </c>
      <c r="D44" s="47">
        <f>C44-C43</f>
        <v>31.392849010258942</v>
      </c>
      <c r="E44" s="47">
        <f>IF(D44&lt;0,-1,1)</f>
        <v>1</v>
      </c>
    </row>
    <row r="45" spans="1:5">
      <c r="A45" s="51">
        <f>GetBusinessDay(A44,1)</f>
        <v>42769</v>
      </c>
      <c r="B45" s="47">
        <f>[1]!S_DQ_CLOSE($A$2,A45)</f>
        <v>2915</v>
      </c>
      <c r="C45" s="47">
        <f>B45*($D$2-$D$2^2/4)+($D$2^2/2)*B44-($D$2-3/4*$D$2^2)*B43+2*(1-$D$2)*C44-(1-$D$2)^2*C43</f>
        <v>2913.0488664959189</v>
      </c>
      <c r="D45" s="47">
        <f>C45-C44</f>
        <v>-36.680974110526222</v>
      </c>
      <c r="E45" s="47">
        <f>IF(D45&lt;0,-1,1)</f>
        <v>-1</v>
      </c>
    </row>
    <row r="46" spans="1:5">
      <c r="A46" s="51">
        <f>GetBusinessDay(A45,1)</f>
        <v>42772</v>
      </c>
      <c r="B46" s="47">
        <f>[1]!S_DQ_CLOSE($A$2,A46)</f>
        <v>2929</v>
      </c>
      <c r="C46" s="47">
        <f>B46*($D$2-$D$2^2/4)+($D$2^2/2)*B45-($D$2-3/4*$D$2^2)*B44+2*(1-$D$2)*C45-(1-$D$2)^2*C44</f>
        <v>2923.3899435225903</v>
      </c>
      <c r="D46" s="47">
        <f>C46-C45</f>
        <v>10.341077026671428</v>
      </c>
      <c r="E46" s="47">
        <f>IF(D46&lt;0,-1,1)</f>
        <v>1</v>
      </c>
    </row>
    <row r="47" spans="1:5">
      <c r="A47" s="51"/>
    </row>
    <row r="48" spans="1:5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1">
      <c r="A97" s="51"/>
    </row>
    <row r="98" spans="1:1">
      <c r="A98" s="51"/>
    </row>
    <row r="99" spans="1:1">
      <c r="A99" s="51"/>
    </row>
    <row r="100" spans="1:1">
      <c r="A100" s="51"/>
    </row>
    <row r="101" spans="1:1">
      <c r="A101" s="51"/>
    </row>
    <row r="102" spans="1:1">
      <c r="A102" s="51"/>
    </row>
    <row r="103" spans="1:1">
      <c r="A103" s="51"/>
    </row>
    <row r="104" spans="1:1">
      <c r="A104" s="51"/>
    </row>
    <row r="105" spans="1:1">
      <c r="A105" s="51"/>
    </row>
    <row r="106" spans="1:1">
      <c r="A106" s="51"/>
    </row>
    <row r="107" spans="1:1">
      <c r="A107" s="51"/>
    </row>
    <row r="108" spans="1:1">
      <c r="A108" s="51"/>
    </row>
    <row r="109" spans="1:1">
      <c r="A109" s="51"/>
    </row>
    <row r="110" spans="1:1">
      <c r="A110" s="51"/>
    </row>
    <row r="111" spans="1:1">
      <c r="A111" s="51"/>
    </row>
    <row r="112" spans="1:1">
      <c r="A112" s="51"/>
    </row>
    <row r="113" spans="1:1">
      <c r="A113" s="51"/>
    </row>
    <row r="114" spans="1:1">
      <c r="A114" s="51"/>
    </row>
    <row r="115" spans="1:1">
      <c r="A115" s="51"/>
    </row>
    <row r="116" spans="1:1">
      <c r="A116" s="51"/>
    </row>
    <row r="117" spans="1:1">
      <c r="A117" s="51"/>
    </row>
    <row r="118" spans="1:1">
      <c r="A118" s="51"/>
    </row>
    <row r="119" spans="1:1">
      <c r="A119" s="51"/>
    </row>
    <row r="120" spans="1:1">
      <c r="A120" s="51"/>
    </row>
    <row r="121" spans="1:1">
      <c r="A121" s="51"/>
    </row>
    <row r="122" spans="1:1">
      <c r="A122" s="51"/>
    </row>
    <row r="123" spans="1:1">
      <c r="A123" s="51"/>
    </row>
    <row r="124" spans="1:1">
      <c r="A124" s="51"/>
    </row>
    <row r="125" spans="1:1">
      <c r="A125" s="51"/>
    </row>
    <row r="126" spans="1:1">
      <c r="A126" s="51"/>
    </row>
    <row r="127" spans="1:1">
      <c r="A127" s="51"/>
    </row>
    <row r="128" spans="1:1">
      <c r="A128" s="51"/>
    </row>
    <row r="129" spans="1:1">
      <c r="A129" s="51"/>
    </row>
    <row r="130" spans="1:1">
      <c r="A130" s="51"/>
    </row>
    <row r="131" spans="1:1">
      <c r="A131" s="51"/>
    </row>
    <row r="132" spans="1:1">
      <c r="A132" s="51"/>
    </row>
    <row r="133" spans="1:1">
      <c r="A133" s="51"/>
    </row>
    <row r="134" spans="1:1">
      <c r="A134" s="51"/>
    </row>
    <row r="135" spans="1:1">
      <c r="A135" s="51"/>
    </row>
    <row r="136" spans="1:1">
      <c r="A136" s="51"/>
    </row>
    <row r="137" spans="1:1">
      <c r="A137" s="51"/>
    </row>
    <row r="138" spans="1:1">
      <c r="A138" s="51"/>
    </row>
    <row r="139" spans="1:1">
      <c r="A139" s="51"/>
    </row>
    <row r="140" spans="1:1">
      <c r="A140" s="51"/>
    </row>
    <row r="141" spans="1:1">
      <c r="A141" s="51"/>
    </row>
    <row r="142" spans="1:1">
      <c r="A142" s="51"/>
    </row>
    <row r="143" spans="1:1">
      <c r="A143" s="51"/>
    </row>
    <row r="144" spans="1:1">
      <c r="A144" s="51"/>
    </row>
    <row r="145" spans="1:1">
      <c r="A145" s="51"/>
    </row>
    <row r="146" spans="1:1">
      <c r="A146" s="51"/>
    </row>
    <row r="147" spans="1:1">
      <c r="A147" s="51"/>
    </row>
    <row r="148" spans="1:1">
      <c r="A148" s="51"/>
    </row>
    <row r="149" spans="1:1">
      <c r="A149" s="51"/>
    </row>
    <row r="150" spans="1:1">
      <c r="A150" s="51"/>
    </row>
    <row r="151" spans="1:1">
      <c r="A151" s="51"/>
    </row>
    <row r="152" spans="1:1">
      <c r="A152" s="51"/>
    </row>
    <row r="153" spans="1:1">
      <c r="A153" s="51"/>
    </row>
    <row r="154" spans="1:1">
      <c r="A154" s="51"/>
    </row>
    <row r="155" spans="1:1">
      <c r="A155" s="51"/>
    </row>
    <row r="156" spans="1:1">
      <c r="A156" s="51"/>
    </row>
    <row r="157" spans="1:1">
      <c r="A157" s="51"/>
    </row>
    <row r="158" spans="1:1">
      <c r="A158" s="51"/>
    </row>
    <row r="159" spans="1:1">
      <c r="A159" s="51"/>
    </row>
    <row r="160" spans="1:1">
      <c r="A160" s="51"/>
    </row>
    <row r="161" spans="1:1">
      <c r="A161" s="51"/>
    </row>
    <row r="162" spans="1:1">
      <c r="A162" s="51"/>
    </row>
    <row r="163" spans="1:1">
      <c r="A163" s="51"/>
    </row>
    <row r="164" spans="1:1">
      <c r="A164" s="51"/>
    </row>
    <row r="165" spans="1:1">
      <c r="A165" s="51"/>
    </row>
    <row r="166" spans="1:1">
      <c r="A166" s="51"/>
    </row>
    <row r="167" spans="1:1">
      <c r="A167" s="51"/>
    </row>
    <row r="168" spans="1:1">
      <c r="A168" s="51"/>
    </row>
    <row r="169" spans="1:1">
      <c r="A169" s="51"/>
    </row>
    <row r="170" spans="1:1">
      <c r="A170" s="51"/>
    </row>
    <row r="171" spans="1:1">
      <c r="A171" s="51"/>
    </row>
    <row r="172" spans="1:1">
      <c r="A172" s="51"/>
    </row>
    <row r="173" spans="1:1">
      <c r="A173" s="51"/>
    </row>
    <row r="174" spans="1:1">
      <c r="A174" s="51"/>
    </row>
    <row r="175" spans="1:1">
      <c r="A175" s="51"/>
    </row>
    <row r="176" spans="1:1">
      <c r="A176" s="51"/>
    </row>
    <row r="177" spans="1:1">
      <c r="A177" s="51"/>
    </row>
    <row r="178" spans="1:1">
      <c r="A178" s="51"/>
    </row>
    <row r="179" spans="1:1">
      <c r="A179" s="51"/>
    </row>
    <row r="180" spans="1:1">
      <c r="A180" s="51"/>
    </row>
    <row r="181" spans="1:1">
      <c r="A181" s="51"/>
    </row>
    <row r="182" spans="1:1">
      <c r="A182" s="51"/>
    </row>
    <row r="183" spans="1:1">
      <c r="A183" s="51"/>
    </row>
    <row r="184" spans="1:1">
      <c r="A184" s="51"/>
    </row>
    <row r="185" spans="1:1">
      <c r="A185" s="51"/>
    </row>
    <row r="186" spans="1:1">
      <c r="A186" s="51"/>
    </row>
    <row r="187" spans="1:1">
      <c r="A187" s="51"/>
    </row>
    <row r="188" spans="1:1">
      <c r="A188" s="51"/>
    </row>
    <row r="189" spans="1:1">
      <c r="A189" s="51"/>
    </row>
    <row r="190" spans="1:1">
      <c r="A190" s="51"/>
    </row>
    <row r="191" spans="1:1">
      <c r="A191" s="51"/>
    </row>
    <row r="192" spans="1:1">
      <c r="A192" s="51"/>
    </row>
    <row r="193" spans="1:1">
      <c r="A193" s="51"/>
    </row>
    <row r="194" spans="1:1">
      <c r="A194" s="51"/>
    </row>
    <row r="195" spans="1:1">
      <c r="A195" s="51"/>
    </row>
    <row r="196" spans="1:1">
      <c r="A196" s="51"/>
    </row>
    <row r="197" spans="1:1">
      <c r="A197" s="51"/>
    </row>
    <row r="198" spans="1:1">
      <c r="A198" s="51"/>
    </row>
    <row r="199" spans="1:1">
      <c r="A199" s="51"/>
    </row>
    <row r="200" spans="1:1">
      <c r="A200" s="51"/>
    </row>
    <row r="201" spans="1:1">
      <c r="A201" s="51"/>
    </row>
    <row r="202" spans="1:1">
      <c r="A202" s="51"/>
    </row>
    <row r="203" spans="1:1">
      <c r="A203" s="51"/>
    </row>
    <row r="204" spans="1:1">
      <c r="A204" s="51"/>
    </row>
    <row r="205" spans="1:1">
      <c r="A205" s="51"/>
    </row>
    <row r="206" spans="1:1">
      <c r="A206" s="51"/>
    </row>
    <row r="207" spans="1:1">
      <c r="A207" s="51"/>
    </row>
    <row r="208" spans="1:1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15"/>
  <sheetViews>
    <sheetView tabSelected="1" topLeftCell="A25" workbookViewId="0">
      <selection activeCell="A50" sqref="A50"/>
    </sheetView>
  </sheetViews>
  <sheetFormatPr defaultRowHeight="13.5"/>
  <cols>
    <col min="1" max="1" width="29.625" bestFit="1" customWidth="1"/>
    <col min="2" max="2" width="9.25" bestFit="1" customWidth="1"/>
    <col min="3" max="3" width="14.5" bestFit="1" customWidth="1"/>
    <col min="4" max="4" width="15.125" bestFit="1" customWidth="1"/>
  </cols>
  <sheetData>
    <row r="1" spans="1:5">
      <c r="A1" s="32" t="s">
        <v>27</v>
      </c>
      <c r="B1" s="5"/>
      <c r="C1" s="6" t="s">
        <v>5</v>
      </c>
      <c r="D1" s="7" t="s">
        <v>6</v>
      </c>
      <c r="E1" s="3"/>
    </row>
    <row r="2" spans="1:5" ht="14.25" thickBot="1">
      <c r="A2" s="8" t="s">
        <v>28</v>
      </c>
      <c r="B2" s="9"/>
      <c r="C2" s="33">
        <v>46.687442481837913</v>
      </c>
      <c r="D2" s="33">
        <v>4.1939762250024493E-2</v>
      </c>
      <c r="E2" s="3"/>
    </row>
    <row r="3" spans="1:5">
      <c r="A3" s="3" t="s">
        <v>7</v>
      </c>
      <c r="B3" s="3" t="s">
        <v>8</v>
      </c>
      <c r="C3" s="3" t="s">
        <v>9</v>
      </c>
      <c r="D3" s="3" t="s">
        <v>10</v>
      </c>
      <c r="E3" s="3" t="s">
        <v>13</v>
      </c>
    </row>
    <row r="4" spans="1:5">
      <c r="A4" s="3"/>
      <c r="B4" s="3"/>
      <c r="C4" s="3"/>
      <c r="D4" s="3"/>
      <c r="E4" s="3"/>
    </row>
    <row r="5" spans="1:5">
      <c r="A5" s="4" t="s">
        <v>12</v>
      </c>
      <c r="B5" s="3">
        <f>[1]!S_DQ_CLOSE($A$2,A5)</f>
        <v>15895</v>
      </c>
      <c r="C5" s="2">
        <v>15992.110145441975</v>
      </c>
      <c r="D5" s="3"/>
      <c r="E5" s="3"/>
    </row>
    <row r="6" spans="1:5">
      <c r="A6" s="4">
        <f>GetBusinessDay(A5,1)</f>
        <v>42706</v>
      </c>
      <c r="B6" s="3">
        <f>[1]!S_DQ_CLOSE($A$2,A6)</f>
        <v>15670</v>
      </c>
      <c r="C6" s="2">
        <v>15997.555566740115</v>
      </c>
      <c r="D6" s="3">
        <f>C6-C5</f>
        <v>5.4454212981399905</v>
      </c>
      <c r="E6" s="46">
        <f>IF(D6&lt;0,-1,1)</f>
        <v>1</v>
      </c>
    </row>
    <row r="7" spans="1:5">
      <c r="A7" s="4">
        <f t="shared" ref="A7:A23" si="0">GetBusinessDay(A6,1)</f>
        <v>42709</v>
      </c>
      <c r="B7" s="3">
        <f>[1]!S_DQ_CLOSE($A$2,A7)</f>
        <v>15730</v>
      </c>
      <c r="C7" s="3">
        <f>B7*($D$2-$D$2^2/4)+($D$2^2/2)*B6-($D$2-3/4*$D$2^2)*B5+2*(1-$D$2)*C6-(1-$D$2)^2*C5</f>
        <v>15995.328031907795</v>
      </c>
      <c r="D7" s="3">
        <f t="shared" ref="D7:D22" si="1">C7-C6</f>
        <v>-2.2275348323200888</v>
      </c>
      <c r="E7" s="46">
        <f t="shared" ref="E7:E22" si="2">IF(D7&lt;0,-1,1)</f>
        <v>-1</v>
      </c>
    </row>
    <row r="8" spans="1:5">
      <c r="A8" s="4">
        <f t="shared" si="0"/>
        <v>42710</v>
      </c>
      <c r="B8" s="3">
        <f>[1]!S_DQ_CLOSE($A$2,A8)</f>
        <v>15800</v>
      </c>
      <c r="C8" s="3">
        <f t="shared" ref="C8:C22" si="3">B8*($D$2-$D$2^2/4)+($D$2^2/2)*B7-($D$2-3/4*$D$2^2)*B6+2*(1-$D$2)*C7-(1-$D$2)^2*C6</f>
        <v>15998.158961584748</v>
      </c>
      <c r="D8" s="3">
        <f t="shared" si="1"/>
        <v>2.8309296769530192</v>
      </c>
      <c r="E8" s="46">
        <f t="shared" si="2"/>
        <v>1</v>
      </c>
    </row>
    <row r="9" spans="1:5">
      <c r="A9" s="4">
        <f t="shared" si="0"/>
        <v>42711</v>
      </c>
      <c r="B9" s="3">
        <f>[1]!S_DQ_CLOSE($A$2,A9)</f>
        <v>15890</v>
      </c>
      <c r="C9" s="3">
        <f t="shared" si="3"/>
        <v>16006.987304409318</v>
      </c>
      <c r="D9" s="3">
        <f t="shared" si="1"/>
        <v>8.8283428245704272</v>
      </c>
      <c r="E9" s="46">
        <f t="shared" si="2"/>
        <v>1</v>
      </c>
    </row>
    <row r="10" spans="1:5">
      <c r="A10" s="4">
        <f t="shared" si="0"/>
        <v>42712</v>
      </c>
      <c r="B10" s="3">
        <f>[1]!S_DQ_CLOSE($A$2,A10)</f>
        <v>15700</v>
      </c>
      <c r="C10" s="3">
        <f t="shared" si="3"/>
        <v>16010.655729417993</v>
      </c>
      <c r="D10" s="3">
        <f t="shared" si="1"/>
        <v>3.6684250086746033</v>
      </c>
      <c r="E10" s="46">
        <f t="shared" si="2"/>
        <v>1</v>
      </c>
    </row>
    <row r="11" spans="1:5">
      <c r="A11" s="4">
        <f t="shared" si="0"/>
        <v>42713</v>
      </c>
      <c r="B11" s="3">
        <f>[1]!S_DQ_CLOSE($A$2,A11)</f>
        <v>15705</v>
      </c>
      <c r="C11" s="3">
        <f t="shared" si="3"/>
        <v>16005.966070084605</v>
      </c>
      <c r="D11" s="3">
        <f t="shared" si="1"/>
        <v>-4.6896593333876808</v>
      </c>
      <c r="E11" s="46">
        <f t="shared" si="2"/>
        <v>-1</v>
      </c>
    </row>
    <row r="12" spans="1:5">
      <c r="A12" s="4">
        <f t="shared" si="0"/>
        <v>42716</v>
      </c>
      <c r="B12" s="3">
        <f>[1]!S_DQ_CLOSE($A$2,A12)</f>
        <v>15860</v>
      </c>
      <c r="C12" s="3">
        <f t="shared" si="3"/>
        <v>16007.767752794063</v>
      </c>
      <c r="D12" s="3">
        <f t="shared" si="1"/>
        <v>1.8016827094579639</v>
      </c>
      <c r="E12" s="46">
        <f t="shared" si="2"/>
        <v>1</v>
      </c>
    </row>
    <row r="13" spans="1:5">
      <c r="A13" s="4">
        <f t="shared" si="0"/>
        <v>42717</v>
      </c>
      <c r="B13" s="3">
        <f>[1]!S_DQ_CLOSE($A$2,A13)</f>
        <v>16135</v>
      </c>
      <c r="C13" s="3">
        <f t="shared" si="3"/>
        <v>16026.87025831221</v>
      </c>
      <c r="D13" s="3">
        <f t="shared" si="1"/>
        <v>19.102505518147154</v>
      </c>
      <c r="E13" s="46">
        <f t="shared" si="2"/>
        <v>1</v>
      </c>
    </row>
    <row r="14" spans="1:5">
      <c r="A14" s="4">
        <f t="shared" si="0"/>
        <v>42718</v>
      </c>
      <c r="B14" s="3">
        <f>[1]!S_DQ_CLOSE($A$2,A14)</f>
        <v>15785</v>
      </c>
      <c r="C14" s="3">
        <f t="shared" si="3"/>
        <v>16041.239892376911</v>
      </c>
      <c r="D14" s="3">
        <f t="shared" si="1"/>
        <v>14.369634064700222</v>
      </c>
      <c r="E14" s="46">
        <f t="shared" si="2"/>
        <v>1</v>
      </c>
    </row>
    <row r="15" spans="1:5">
      <c r="A15" s="4">
        <f t="shared" si="0"/>
        <v>42719</v>
      </c>
      <c r="B15" s="3">
        <f>[1]!S_DQ_CLOSE($A$2,A15)</f>
        <v>15810</v>
      </c>
      <c r="C15" s="3">
        <f t="shared" si="3"/>
        <v>16040.799078793207</v>
      </c>
      <c r="D15" s="3">
        <f t="shared" si="1"/>
        <v>-0.44081358370385715</v>
      </c>
      <c r="E15" s="46">
        <f t="shared" si="2"/>
        <v>-1</v>
      </c>
    </row>
    <row r="16" spans="1:5">
      <c r="A16" s="4">
        <f t="shared" si="0"/>
        <v>42720</v>
      </c>
      <c r="B16" s="3">
        <f>[1]!S_DQ_CLOSE($A$2,A16)</f>
        <v>15735</v>
      </c>
      <c r="C16" s="3">
        <f t="shared" si="3"/>
        <v>16037.891514388715</v>
      </c>
      <c r="D16" s="3">
        <f t="shared" si="1"/>
        <v>-2.9075644044914952</v>
      </c>
      <c r="E16" s="46">
        <f t="shared" si="2"/>
        <v>-1</v>
      </c>
    </row>
    <row r="17" spans="1:5">
      <c r="A17" s="4">
        <f t="shared" si="0"/>
        <v>42723</v>
      </c>
      <c r="B17" s="3">
        <f>[1]!S_DQ_CLOSE($A$2,A17)</f>
        <v>15425</v>
      </c>
      <c r="C17" s="3">
        <f t="shared" si="3"/>
        <v>16018.77840200173</v>
      </c>
      <c r="D17" s="3">
        <f t="shared" si="1"/>
        <v>-19.113112386985449</v>
      </c>
      <c r="E17" s="46">
        <f t="shared" si="2"/>
        <v>-1</v>
      </c>
    </row>
    <row r="18" spans="1:5">
      <c r="A18" s="4">
        <f t="shared" si="0"/>
        <v>42724</v>
      </c>
      <c r="B18" s="3">
        <f>[1]!S_DQ_CLOSE($A$2,A18)</f>
        <v>14905</v>
      </c>
      <c r="C18" s="3">
        <f t="shared" si="3"/>
        <v>15966.018061159813</v>
      </c>
      <c r="D18" s="3">
        <f t="shared" si="1"/>
        <v>-52.760340841916332</v>
      </c>
      <c r="E18" s="46">
        <f t="shared" si="2"/>
        <v>-1</v>
      </c>
    </row>
    <row r="19" spans="1:5">
      <c r="A19" s="4">
        <f t="shared" si="0"/>
        <v>42725</v>
      </c>
      <c r="B19" s="3">
        <f>[1]!S_DQ_CLOSE($A$2,A19)</f>
        <v>15110</v>
      </c>
      <c r="C19" s="3">
        <f t="shared" si="3"/>
        <v>15903.108976219268</v>
      </c>
      <c r="D19" s="3">
        <f t="shared" si="1"/>
        <v>-62.909084940545654</v>
      </c>
      <c r="E19" s="46">
        <f t="shared" si="2"/>
        <v>-1</v>
      </c>
    </row>
    <row r="20" spans="1:5">
      <c r="A20" s="4">
        <f t="shared" si="0"/>
        <v>42726</v>
      </c>
      <c r="B20" s="3">
        <f>[1]!S_DQ_CLOSE($A$2,A20)</f>
        <v>15150</v>
      </c>
      <c r="C20" s="3">
        <f t="shared" si="3"/>
        <v>15853.958202598136</v>
      </c>
      <c r="D20" s="3">
        <f t="shared" si="1"/>
        <v>-49.15077362113152</v>
      </c>
      <c r="E20" s="46">
        <f t="shared" si="2"/>
        <v>-1</v>
      </c>
    </row>
    <row r="21" spans="1:5">
      <c r="A21" s="4">
        <f t="shared" si="0"/>
        <v>42727</v>
      </c>
      <c r="B21" s="3">
        <f>[1]!S_DQ_CLOSE($A$2,A21)</f>
        <v>15150</v>
      </c>
      <c r="C21" s="3">
        <f t="shared" si="3"/>
        <v>15809.230318420234</v>
      </c>
      <c r="D21" s="3">
        <f t="shared" si="1"/>
        <v>-44.727884177902524</v>
      </c>
      <c r="E21" s="46">
        <f t="shared" si="2"/>
        <v>-1</v>
      </c>
    </row>
    <row r="22" spans="1:5">
      <c r="A22" s="4">
        <f t="shared" si="0"/>
        <v>42730</v>
      </c>
      <c r="B22" s="3">
        <f>[1]!S_DQ_CLOSE($A$2,A22)</f>
        <v>14780</v>
      </c>
      <c r="C22" s="3">
        <f t="shared" si="3"/>
        <v>15751.660955339219</v>
      </c>
      <c r="D22" s="3">
        <f t="shared" si="1"/>
        <v>-57.569363081014671</v>
      </c>
      <c r="E22" s="46">
        <f t="shared" si="2"/>
        <v>-1</v>
      </c>
    </row>
    <row r="23" spans="1:5">
      <c r="A23" s="4">
        <f t="shared" si="0"/>
        <v>42731</v>
      </c>
      <c r="B23" s="3">
        <f>[1]!S_DQ_CLOSE($A$2,A23)</f>
        <v>14900</v>
      </c>
      <c r="C23" s="3">
        <f>B23*($D$2-$D$2^2/4)+($D$2^2/2)*B22-($D$2-3/4*$D$2^2)*B21+2*(1-$D$2)*C22-(1-$D$2)^2*C21</f>
        <v>15687.060522911175</v>
      </c>
      <c r="D23" s="3">
        <f>C23-C22</f>
        <v>-64.60043242804386</v>
      </c>
      <c r="E23" s="46">
        <f>IF(D23&lt;0,-1,1)</f>
        <v>-1</v>
      </c>
    </row>
    <row r="24" spans="1:5">
      <c r="A24" s="4">
        <f>GetBusinessDay(A23,1)</f>
        <v>42732</v>
      </c>
      <c r="B24" s="1">
        <f>[1]!S_DQ_CLOSE($A$2,A24)</f>
        <v>14835</v>
      </c>
      <c r="C24" s="1">
        <f>B24*($D$2-$D$2^2/4)+($D$2^2/2)*B23-($D$2-3/4*$D$2^2)*B22+2*(1-$D$2)*C23-(1-$D$2)^2*C22</f>
        <v>15628.55768523089</v>
      </c>
      <c r="D24" s="1">
        <f>C24-C23</f>
        <v>-58.502837680285666</v>
      </c>
      <c r="E24" s="47">
        <f>IF(D24&lt;0,-1,1)</f>
        <v>-1</v>
      </c>
    </row>
    <row r="25" spans="1:5">
      <c r="A25" s="11">
        <f>GetBusinessDay(A24,1)</f>
        <v>42733</v>
      </c>
      <c r="B25">
        <f>[1]!S_DQ_CLOSE($A$2,A25)</f>
        <v>14935</v>
      </c>
      <c r="C25">
        <f>B25*($D$2-$D$2^2/4)+($D$2^2/2)*B24-($D$2-3/4*$D$2^2)*B23+2*(1-$D$2)*C24-(1-$D$2)^2*C23</f>
        <v>15574.972977895093</v>
      </c>
      <c r="D25">
        <f>C25-C24</f>
        <v>-53.584707335796338</v>
      </c>
      <c r="E25" s="47">
        <f>IF(D25&lt;0,-1,1)</f>
        <v>-1</v>
      </c>
    </row>
    <row r="26" spans="1:5">
      <c r="A26" s="11">
        <f>GetBusinessDay(A25,1)</f>
        <v>42734</v>
      </c>
      <c r="B26">
        <f>[1]!S_DQ_CLOSE($A$2,A26)</f>
        <v>15030</v>
      </c>
      <c r="C26">
        <f>B26*($D$2-$D$2^2/4)+($D$2^2/2)*B25-($D$2-3/4*$D$2^2)*B24+2*(1-$D$2)*C25-(1-$D$2)^2*C24</f>
        <v>15532.667559392057</v>
      </c>
      <c r="D26">
        <f>C26-C25</f>
        <v>-42.30541850303598</v>
      </c>
      <c r="E26" s="47">
        <f>IF(D26&lt;0,-1,1)</f>
        <v>-1</v>
      </c>
    </row>
    <row r="27" spans="1:5">
      <c r="A27" s="11">
        <f>GetBusinessDay(A26,1)</f>
        <v>42738</v>
      </c>
      <c r="B27">
        <f>[1]!S_DQ_CLOSE($A$2,A27)</f>
        <v>15085</v>
      </c>
      <c r="C27">
        <f>B27*($D$2-$D$2^2/4)+($D$2^2/2)*B26-($D$2-3/4*$D$2^2)*B25+2*(1-$D$2)*C26-(1-$D$2)^2*C25</f>
        <v>15499.093576640413</v>
      </c>
      <c r="D27">
        <f>C27-C26</f>
        <v>-33.573982751644508</v>
      </c>
      <c r="E27" s="47">
        <f>IF(D27&lt;0,-1,1)</f>
        <v>-1</v>
      </c>
    </row>
    <row r="28" spans="1:5">
      <c r="A28" s="11">
        <f>GetBusinessDay(A27,1)</f>
        <v>42739</v>
      </c>
      <c r="B28">
        <f>[1]!S_DQ_CLOSE($A$2,A28)</f>
        <v>15085</v>
      </c>
      <c r="C28">
        <f>B28*($D$2-$D$2^2/4)+($D$2^2/2)*B27-($D$2-3/4*$D$2^2)*B26+2*(1-$D$2)*C27-(1-$D$2)^2*C26</f>
        <v>15469.782472081124</v>
      </c>
      <c r="D28">
        <f>C28-C27</f>
        <v>-29.311104559288651</v>
      </c>
      <c r="E28" s="47">
        <f>IF(D28&lt;0,-1,1)</f>
        <v>-1</v>
      </c>
    </row>
    <row r="29" spans="1:5">
      <c r="A29" s="11">
        <f>GetBusinessDay(A28,1)</f>
        <v>42740</v>
      </c>
      <c r="B29">
        <f>[1]!S_DQ_CLOSE($A$2,A29)</f>
        <v>15300</v>
      </c>
      <c r="C29">
        <f>B29*($D$2-$D$2^2/4)+($D$2^2/2)*B28-($D$2-3/4*$D$2^2)*B27+2*(1-$D$2)*C28-(1-$D$2)^2*C27</f>
        <v>15451.12410742672</v>
      </c>
      <c r="D29">
        <f>C29-C28</f>
        <v>-18.658364654404068</v>
      </c>
      <c r="E29" s="47">
        <f>IF(D29&lt;0,-1,1)</f>
        <v>-1</v>
      </c>
    </row>
    <row r="30" spans="1:5">
      <c r="A30" s="11">
        <f>GetBusinessDay(A29,1)</f>
        <v>42741</v>
      </c>
      <c r="B30">
        <f>[1]!S_DQ_CLOSE($A$2,A30)</f>
        <v>15185</v>
      </c>
      <c r="C30">
        <f>B30*($D$2-$D$2^2/4)+($D$2^2/2)*B29-($D$2-3/4*$D$2^2)*B28+2*(1-$D$2)*C29-(1-$D$2)^2*C28</f>
        <v>15437.693075915411</v>
      </c>
      <c r="D30">
        <f>C30-C29</f>
        <v>-13.431031511308902</v>
      </c>
      <c r="E30" s="47">
        <f>IF(D30&lt;0,-1,1)</f>
        <v>-1</v>
      </c>
    </row>
    <row r="31" spans="1:5">
      <c r="A31" s="11">
        <f>GetBusinessDay(A30,1)</f>
        <v>42744</v>
      </c>
      <c r="B31">
        <f>[1]!S_DQ_CLOSE($A$2,A31)</f>
        <v>15370</v>
      </c>
      <c r="C31">
        <f>B31*($D$2-$D$2^2/4)+($D$2^2/2)*B30-($D$2-3/4*$D$2^2)*B29+2*(1-$D$2)*C30-(1-$D$2)^2*C29</f>
        <v>15427.926676733729</v>
      </c>
      <c r="D31">
        <f>C31-C30</f>
        <v>-9.7663991816825728</v>
      </c>
      <c r="E31" s="47">
        <f>IF(D31&lt;0,-1,1)</f>
        <v>-1</v>
      </c>
    </row>
    <row r="32" spans="1:5">
      <c r="A32" s="11">
        <f>GetBusinessDay(A31,1)</f>
        <v>42745</v>
      </c>
      <c r="B32">
        <f>[1]!S_DQ_CLOSE($A$2,A32)</f>
        <v>15445</v>
      </c>
      <c r="C32">
        <f>B32*($D$2-$D$2^2/4)+($D$2^2/2)*B31-($D$2-3/4*$D$2^2)*B30+2*(1-$D$2)*C31-(1-$D$2)^2*C30</f>
        <v>15429.487714723879</v>
      </c>
      <c r="D32">
        <f>C32-C31</f>
        <v>1.5610379901499982</v>
      </c>
      <c r="E32" s="47">
        <f>IF(D32&lt;0,-1,1)</f>
        <v>1</v>
      </c>
    </row>
    <row r="33" spans="1:5">
      <c r="A33" s="11">
        <f>GetBusinessDay(A32,1)</f>
        <v>42746</v>
      </c>
      <c r="B33">
        <f>[1]!S_DQ_CLOSE($A$2,A33)</f>
        <v>15385</v>
      </c>
      <c r="C33">
        <f>B33*($D$2-$D$2^2/4)+($D$2^2/2)*B32-($D$2-3/4*$D$2^2)*B31+2*(1-$D$2)*C32-(1-$D$2)^2*C31</f>
        <v>15431.504384611235</v>
      </c>
      <c r="D33">
        <f>C33-C32</f>
        <v>2.0166698873563291</v>
      </c>
      <c r="E33" s="47">
        <f>IF(D33&lt;0,-1,1)</f>
        <v>1</v>
      </c>
    </row>
    <row r="34" spans="1:5">
      <c r="A34" s="11">
        <f>GetBusinessDay(A33,1)</f>
        <v>42747</v>
      </c>
      <c r="B34">
        <f>[1]!S_DQ_CLOSE($A$2,A34)</f>
        <v>15305</v>
      </c>
      <c r="C34">
        <f>B34*($D$2-$D$2^2/4)+($D$2^2/2)*B33-($D$2-3/4*$D$2^2)*B32+2*(1-$D$2)*C33-(1-$D$2)^2*C32</f>
        <v>15427.516410426451</v>
      </c>
      <c r="D34">
        <f>C34-C33</f>
        <v>-3.9879741847835248</v>
      </c>
      <c r="E34" s="47">
        <f>IF(D34&lt;0,-1,1)</f>
        <v>-1</v>
      </c>
    </row>
    <row r="35" spans="1:5">
      <c r="A35" s="11">
        <f>GetBusinessDay(A34,1)</f>
        <v>42748</v>
      </c>
      <c r="B35">
        <f>[1]!S_DQ_CLOSE($A$2,A35)</f>
        <v>15055</v>
      </c>
      <c r="C35">
        <f>B35*($D$2-$D$2^2/4)+($D$2^2/2)*B34-($D$2-3/4*$D$2^2)*B33+2*(1-$D$2)*C34-(1-$D$2)^2*C33</f>
        <v>15410.015780590584</v>
      </c>
      <c r="D35">
        <f>C35-C34</f>
        <v>-17.500629835867585</v>
      </c>
      <c r="E35" s="47">
        <f>IF(D35&lt;0,-1,1)</f>
        <v>-1</v>
      </c>
    </row>
    <row r="36" spans="1:5">
      <c r="A36" s="11">
        <f>GetBusinessDay(A35,1)</f>
        <v>42751</v>
      </c>
      <c r="B36">
        <f>[1]!S_DQ_CLOSE($A$2,A36)</f>
        <v>15105</v>
      </c>
      <c r="C36">
        <f>B36*($D$2-$D$2^2/4)+($D$2^2/2)*B35-($D$2-3/4*$D$2^2)*B34+2*(1-$D$2)*C35-(1-$D$2)^2*C34</f>
        <v>15385.247722576405</v>
      </c>
      <c r="D36">
        <f>C36-C35</f>
        <v>-24.768058014178678</v>
      </c>
      <c r="E36" s="47">
        <f>IF(D36&lt;0,-1,1)</f>
        <v>-1</v>
      </c>
    </row>
    <row r="37" spans="1:5">
      <c r="A37" s="11">
        <f>GetBusinessDay(A36,1)</f>
        <v>42752</v>
      </c>
      <c r="B37">
        <f>[1]!S_DQ_CLOSE($A$2,A37)</f>
        <v>15160</v>
      </c>
      <c r="C37">
        <f>B37*($D$2-$D$2^2/4)+($D$2^2/2)*B36-($D$2-3/4*$D$2^2)*B35+2*(1-$D$2)*C36-(1-$D$2)^2*C35</f>
        <v>15366.334221092313</v>
      </c>
      <c r="D37">
        <f>C37-C36</f>
        <v>-18.913501484092194</v>
      </c>
      <c r="E37" s="47">
        <f>IF(D37&lt;0,-1,1)</f>
        <v>-1</v>
      </c>
    </row>
    <row r="38" spans="1:5">
      <c r="A38" s="11">
        <f>GetBusinessDay(A37,1)</f>
        <v>42753</v>
      </c>
      <c r="B38">
        <f>[1]!S_DQ_CLOSE($A$2,A38)</f>
        <v>15125</v>
      </c>
      <c r="C38">
        <f>B38*($D$2-$D$2^2/4)+($D$2^2/2)*B37-($D$2-3/4*$D$2^2)*B36+2*(1-$D$2)*C37-(1-$D$2)^2*C36</f>
        <v>15349.392606642452</v>
      </c>
      <c r="D38">
        <f>C38-C37</f>
        <v>-16.941614449860936</v>
      </c>
      <c r="E38" s="47">
        <f>IF(D38&lt;0,-1,1)</f>
        <v>-1</v>
      </c>
    </row>
    <row r="39" spans="1:5">
      <c r="A39" s="11">
        <f>GetBusinessDay(A38,1)</f>
        <v>42754</v>
      </c>
      <c r="B39">
        <f>[1]!S_DQ_CLOSE($A$2,A39)</f>
        <v>15295</v>
      </c>
      <c r="C39">
        <f>B39*($D$2-$D$2^2/4)+($D$2^2/2)*B38-($D$2-3/4*$D$2^2)*B37+2*(1-$D$2)*C38-(1-$D$2)^2*C37</f>
        <v>15339.080838528676</v>
      </c>
      <c r="D39">
        <f>C39-C38</f>
        <v>-10.311768113775543</v>
      </c>
      <c r="E39" s="47">
        <f>IF(D39&lt;0,-1,1)</f>
        <v>-1</v>
      </c>
    </row>
    <row r="40" spans="1:5">
      <c r="A40" s="11">
        <f>GetBusinessDay(A39,1)</f>
        <v>42755</v>
      </c>
      <c r="B40">
        <f>[1]!S_DQ_CLOSE($A$2,A40)</f>
        <v>15170</v>
      </c>
      <c r="C40">
        <f>B40*($D$2-$D$2^2/4)+($D$2^2/2)*B39-($D$2-3/4*$D$2^2)*B38+2*(1-$D$2)*C39-(1-$D$2)^2*C38</f>
        <v>15331.256334064778</v>
      </c>
      <c r="D40">
        <f>C40-C39</f>
        <v>-7.8245044638988475</v>
      </c>
      <c r="E40" s="47">
        <f>IF(D40&lt;0,-1,1)</f>
        <v>-1</v>
      </c>
    </row>
    <row r="41" spans="1:5">
      <c r="A41" s="11">
        <f>GetBusinessDay(A40,1)</f>
        <v>42758</v>
      </c>
      <c r="B41">
        <f>[1]!S_DQ_CLOSE($A$2,A41)</f>
        <v>15545</v>
      </c>
      <c r="C41">
        <f>B41*($D$2-$D$2^2/4)+($D$2^2/2)*B40-($D$2-3/4*$D$2^2)*B39+2*(1-$D$2)*C40-(1-$D$2)^2*C39</f>
        <v>15334.275682208716</v>
      </c>
      <c r="D41">
        <f>C41-C40</f>
        <v>3.0193481439382595</v>
      </c>
      <c r="E41" s="47">
        <f>IF(D41&lt;0,-1,1)</f>
        <v>1</v>
      </c>
    </row>
    <row r="42" spans="1:5">
      <c r="A42" s="11">
        <f>GetBusinessDay(A41,1)</f>
        <v>42759</v>
      </c>
      <c r="B42">
        <f>[1]!S_DQ_CLOSE($A$2,A42)</f>
        <v>15685</v>
      </c>
      <c r="C42">
        <f>B42*($D$2-$D$2^2/4)+($D$2^2/2)*B41-($D$2-3/4*$D$2^2)*B40+2*(1-$D$2)*C41-(1-$D$2)^2*C40</f>
        <v>15358.460443558639</v>
      </c>
      <c r="D42">
        <f>C42-C41</f>
        <v>24.184761349923065</v>
      </c>
      <c r="E42" s="47">
        <f>IF(D42&lt;0,-1,1)</f>
        <v>1</v>
      </c>
    </row>
    <row r="43" spans="1:5">
      <c r="A43" s="11">
        <f>GetBusinessDay(A42,1)</f>
        <v>42760</v>
      </c>
      <c r="B43">
        <f>[1]!S_DQ_CLOSE($A$2,A43)</f>
        <v>15620</v>
      </c>
      <c r="C43">
        <f>B43*($D$2-$D$2^2/4)+($D$2^2/2)*B42-($D$2-3/4*$D$2^2)*B41+2*(1-$D$2)*C42-(1-$D$2)^2*C41</f>
        <v>15384.222878859868</v>
      </c>
      <c r="D43">
        <f>C43-C42</f>
        <v>25.762435301228834</v>
      </c>
      <c r="E43" s="47">
        <f>IF(D43&lt;0,-1,1)</f>
        <v>1</v>
      </c>
    </row>
    <row r="44" spans="1:5">
      <c r="A44" s="11">
        <f>GetBusinessDay(A43,1)</f>
        <v>42761</v>
      </c>
      <c r="B44">
        <f>[1]!S_DQ_CLOSE($A$2,A44)</f>
        <v>15665</v>
      </c>
      <c r="C44">
        <f>B44*($D$2-$D$2^2/4)+($D$2^2/2)*B43-($D$2-3/4*$D$2^2)*B42+2*(1-$D$2)*C43-(1-$D$2)^2*C42</f>
        <v>15407.511571824236</v>
      </c>
      <c r="D44">
        <f>C44-C43</f>
        <v>23.288692964368238</v>
      </c>
      <c r="E44" s="47">
        <f>IF(D44&lt;0,-1,1)</f>
        <v>1</v>
      </c>
    </row>
    <row r="45" spans="1:5">
      <c r="A45" s="11">
        <f>GetBusinessDay(A44,1)</f>
        <v>42769</v>
      </c>
      <c r="B45">
        <f>[1]!S_DQ_CLOSE($A$2,A45)</f>
        <v>15965</v>
      </c>
      <c r="C45">
        <f>B45*($D$2-$D$2^2/4)+($D$2^2/2)*B44-($D$2-3/4*$D$2^2)*B43+2*(1-$D$2)*C44-(1-$D$2)^2*C43</f>
        <v>15443.61862428645</v>
      </c>
      <c r="D45">
        <f>C45-C44</f>
        <v>36.107052462213687</v>
      </c>
      <c r="E45" s="47">
        <f>IF(D45&lt;0,-1,1)</f>
        <v>1</v>
      </c>
    </row>
    <row r="46" spans="1:5">
      <c r="A46" s="11">
        <f>GetBusinessDay(A45,1)</f>
        <v>42772</v>
      </c>
      <c r="B46">
        <f>[1]!S_DQ_CLOSE($A$2,A46)</f>
        <v>16075</v>
      </c>
      <c r="C46">
        <f>B46*($D$2-$D$2^2/4)+($D$2^2/2)*B45-($D$2-3/4*$D$2^2)*B44+2*(1-$D$2)*C45-(1-$D$2)^2*C44</f>
        <v>15494.428794340924</v>
      </c>
      <c r="D46">
        <f>C46-C45</f>
        <v>50.810170054473929</v>
      </c>
      <c r="E46" s="47">
        <f>IF(D46&lt;0,-1,1)</f>
        <v>1</v>
      </c>
    </row>
    <row r="47" spans="1:5">
      <c r="A47" s="31"/>
    </row>
    <row r="48" spans="1:5">
      <c r="A48" s="31"/>
    </row>
    <row r="49" spans="1:1">
      <c r="A49" s="31"/>
    </row>
    <row r="50" spans="1:1">
      <c r="A50" s="31"/>
    </row>
    <row r="51" spans="1:1">
      <c r="A51" s="31"/>
    </row>
    <row r="52" spans="1:1">
      <c r="A52" s="31"/>
    </row>
    <row r="53" spans="1:1">
      <c r="A53" s="31"/>
    </row>
    <row r="54" spans="1:1">
      <c r="A54" s="31"/>
    </row>
    <row r="55" spans="1:1">
      <c r="A55" s="31"/>
    </row>
    <row r="56" spans="1:1">
      <c r="A56" s="31"/>
    </row>
    <row r="57" spans="1:1">
      <c r="A57" s="31"/>
    </row>
    <row r="58" spans="1:1">
      <c r="A58" s="31"/>
    </row>
    <row r="59" spans="1:1">
      <c r="A59" s="31"/>
    </row>
    <row r="60" spans="1:1">
      <c r="A60" s="31"/>
    </row>
    <row r="61" spans="1:1">
      <c r="A61" s="31"/>
    </row>
    <row r="62" spans="1:1">
      <c r="A62" s="31"/>
    </row>
    <row r="63" spans="1:1">
      <c r="A63" s="31"/>
    </row>
    <row r="64" spans="1:1">
      <c r="A64" s="31"/>
    </row>
    <row r="65" spans="1:1">
      <c r="A65" s="31"/>
    </row>
    <row r="66" spans="1:1">
      <c r="A66" s="31"/>
    </row>
    <row r="67" spans="1:1">
      <c r="A67" s="31"/>
    </row>
    <row r="68" spans="1:1">
      <c r="A68" s="31"/>
    </row>
    <row r="69" spans="1:1">
      <c r="A69" s="31"/>
    </row>
    <row r="70" spans="1:1">
      <c r="A70" s="31"/>
    </row>
    <row r="71" spans="1:1">
      <c r="A71" s="31"/>
    </row>
    <row r="72" spans="1:1">
      <c r="A72" s="31"/>
    </row>
    <row r="73" spans="1:1">
      <c r="A73" s="31"/>
    </row>
    <row r="74" spans="1:1">
      <c r="A74" s="31"/>
    </row>
    <row r="75" spans="1:1">
      <c r="A75" s="31"/>
    </row>
    <row r="76" spans="1:1">
      <c r="A76" s="31"/>
    </row>
    <row r="77" spans="1:1">
      <c r="A77" s="31"/>
    </row>
    <row r="78" spans="1:1">
      <c r="A78" s="31"/>
    </row>
    <row r="79" spans="1:1">
      <c r="A79" s="31"/>
    </row>
    <row r="80" spans="1:1">
      <c r="A80" s="31"/>
    </row>
    <row r="81" spans="1:1">
      <c r="A81" s="31"/>
    </row>
    <row r="82" spans="1:1">
      <c r="A82" s="31"/>
    </row>
    <row r="83" spans="1:1">
      <c r="A83" s="31"/>
    </row>
    <row r="84" spans="1:1">
      <c r="A84" s="31"/>
    </row>
    <row r="85" spans="1:1">
      <c r="A85" s="31"/>
    </row>
    <row r="86" spans="1:1">
      <c r="A86" s="31"/>
    </row>
    <row r="87" spans="1:1">
      <c r="A87" s="31"/>
    </row>
    <row r="88" spans="1:1">
      <c r="A88" s="31"/>
    </row>
    <row r="89" spans="1:1">
      <c r="A89" s="31"/>
    </row>
    <row r="90" spans="1:1">
      <c r="A90" s="31"/>
    </row>
    <row r="91" spans="1:1">
      <c r="A91" s="31"/>
    </row>
    <row r="92" spans="1:1">
      <c r="A92" s="31"/>
    </row>
    <row r="93" spans="1:1">
      <c r="A93" s="31"/>
    </row>
    <row r="94" spans="1:1">
      <c r="A94" s="31"/>
    </row>
    <row r="95" spans="1:1">
      <c r="A95" s="31"/>
    </row>
    <row r="96" spans="1:1">
      <c r="A96" s="31"/>
    </row>
    <row r="97" spans="1:1">
      <c r="A97" s="31"/>
    </row>
    <row r="98" spans="1:1">
      <c r="A98" s="31"/>
    </row>
    <row r="99" spans="1:1">
      <c r="A99" s="31"/>
    </row>
    <row r="100" spans="1:1">
      <c r="A100" s="31"/>
    </row>
    <row r="101" spans="1:1">
      <c r="A101" s="31"/>
    </row>
    <row r="102" spans="1:1">
      <c r="A102" s="31"/>
    </row>
    <row r="103" spans="1:1">
      <c r="A103" s="31"/>
    </row>
    <row r="104" spans="1:1">
      <c r="A104" s="31"/>
    </row>
    <row r="105" spans="1:1">
      <c r="A105" s="31"/>
    </row>
    <row r="106" spans="1:1">
      <c r="A106" s="31"/>
    </row>
    <row r="107" spans="1:1">
      <c r="A107" s="31"/>
    </row>
    <row r="108" spans="1:1">
      <c r="A108" s="31"/>
    </row>
    <row r="109" spans="1:1">
      <c r="A109" s="31"/>
    </row>
    <row r="110" spans="1:1">
      <c r="A110" s="31"/>
    </row>
    <row r="111" spans="1:1">
      <c r="A111" s="31"/>
    </row>
    <row r="112" spans="1:1">
      <c r="A112" s="31"/>
    </row>
    <row r="113" spans="1:1">
      <c r="A113" s="31"/>
    </row>
    <row r="114" spans="1:1">
      <c r="A114" s="31"/>
    </row>
    <row r="115" spans="1:1">
      <c r="A115" s="31"/>
    </row>
    <row r="116" spans="1:1">
      <c r="A116" s="31"/>
    </row>
    <row r="117" spans="1:1">
      <c r="A117" s="31"/>
    </row>
    <row r="118" spans="1:1">
      <c r="A118" s="31"/>
    </row>
    <row r="119" spans="1:1">
      <c r="A119" s="31"/>
    </row>
    <row r="120" spans="1:1">
      <c r="A120" s="31"/>
    </row>
    <row r="121" spans="1:1">
      <c r="A121" s="31"/>
    </row>
    <row r="122" spans="1:1">
      <c r="A122" s="31"/>
    </row>
    <row r="123" spans="1:1">
      <c r="A123" s="31"/>
    </row>
    <row r="124" spans="1:1">
      <c r="A124" s="31"/>
    </row>
    <row r="125" spans="1:1">
      <c r="A125" s="31"/>
    </row>
    <row r="126" spans="1:1">
      <c r="A126" s="31"/>
    </row>
    <row r="127" spans="1:1">
      <c r="A127" s="31"/>
    </row>
    <row r="128" spans="1:1">
      <c r="A128" s="31"/>
    </row>
    <row r="129" spans="1:1">
      <c r="A129" s="31"/>
    </row>
    <row r="130" spans="1:1">
      <c r="A130" s="31"/>
    </row>
    <row r="131" spans="1:1">
      <c r="A131" s="31"/>
    </row>
    <row r="132" spans="1:1">
      <c r="A132" s="31"/>
    </row>
    <row r="133" spans="1:1">
      <c r="A133" s="31"/>
    </row>
    <row r="134" spans="1:1">
      <c r="A134" s="31"/>
    </row>
    <row r="135" spans="1:1">
      <c r="A135" s="31"/>
    </row>
    <row r="136" spans="1:1">
      <c r="A136" s="31"/>
    </row>
    <row r="137" spans="1:1">
      <c r="A137" s="31"/>
    </row>
    <row r="138" spans="1:1">
      <c r="A138" s="31"/>
    </row>
    <row r="139" spans="1:1">
      <c r="A139" s="31"/>
    </row>
    <row r="140" spans="1:1">
      <c r="A140" s="31"/>
    </row>
    <row r="141" spans="1:1">
      <c r="A141" s="31"/>
    </row>
    <row r="142" spans="1:1">
      <c r="A142" s="31"/>
    </row>
    <row r="143" spans="1:1">
      <c r="A143" s="31"/>
    </row>
    <row r="144" spans="1:1">
      <c r="A144" s="31"/>
    </row>
    <row r="145" spans="1:1">
      <c r="A145" s="31"/>
    </row>
    <row r="146" spans="1:1">
      <c r="A146" s="31"/>
    </row>
    <row r="147" spans="1:1">
      <c r="A147" s="31"/>
    </row>
    <row r="148" spans="1:1">
      <c r="A148" s="31"/>
    </row>
    <row r="149" spans="1:1">
      <c r="A149" s="31"/>
    </row>
    <row r="150" spans="1:1">
      <c r="A150" s="31"/>
    </row>
    <row r="151" spans="1:1">
      <c r="A151" s="31"/>
    </row>
    <row r="152" spans="1:1">
      <c r="A152" s="31"/>
    </row>
    <row r="153" spans="1:1">
      <c r="A153" s="31"/>
    </row>
    <row r="154" spans="1:1">
      <c r="A154" s="31"/>
    </row>
    <row r="155" spans="1:1">
      <c r="A155" s="31"/>
    </row>
    <row r="156" spans="1:1">
      <c r="A156" s="31"/>
    </row>
    <row r="157" spans="1:1">
      <c r="A157" s="31"/>
    </row>
    <row r="158" spans="1:1">
      <c r="A158" s="31"/>
    </row>
    <row r="159" spans="1:1">
      <c r="A159" s="31"/>
    </row>
    <row r="160" spans="1:1">
      <c r="A160" s="31"/>
    </row>
    <row r="161" spans="1:1">
      <c r="A161" s="31"/>
    </row>
    <row r="162" spans="1:1">
      <c r="A162" s="31"/>
    </row>
    <row r="163" spans="1:1">
      <c r="A163" s="31"/>
    </row>
    <row r="164" spans="1:1">
      <c r="A164" s="31"/>
    </row>
    <row r="165" spans="1:1">
      <c r="A165" s="31"/>
    </row>
    <row r="166" spans="1:1">
      <c r="A166" s="31"/>
    </row>
    <row r="167" spans="1:1">
      <c r="A167" s="31"/>
    </row>
    <row r="168" spans="1:1">
      <c r="A168" s="31"/>
    </row>
    <row r="169" spans="1:1">
      <c r="A169" s="31"/>
    </row>
    <row r="170" spans="1:1">
      <c r="A170" s="31"/>
    </row>
    <row r="171" spans="1:1">
      <c r="A171" s="31"/>
    </row>
    <row r="172" spans="1:1">
      <c r="A172" s="31"/>
    </row>
    <row r="173" spans="1:1">
      <c r="A173" s="31"/>
    </row>
    <row r="174" spans="1:1">
      <c r="A174" s="31"/>
    </row>
    <row r="175" spans="1:1">
      <c r="A175" s="31"/>
    </row>
    <row r="176" spans="1:1">
      <c r="A176" s="31"/>
    </row>
    <row r="177" spans="1:1">
      <c r="A177" s="31"/>
    </row>
    <row r="178" spans="1:1">
      <c r="A178" s="31"/>
    </row>
    <row r="179" spans="1:1">
      <c r="A179" s="31"/>
    </row>
    <row r="180" spans="1:1">
      <c r="A180" s="31"/>
    </row>
    <row r="181" spans="1:1">
      <c r="A181" s="31"/>
    </row>
    <row r="182" spans="1:1">
      <c r="A182" s="31"/>
    </row>
    <row r="183" spans="1:1">
      <c r="A183" s="31"/>
    </row>
    <row r="184" spans="1:1">
      <c r="A184" s="31"/>
    </row>
    <row r="185" spans="1:1">
      <c r="A185" s="31"/>
    </row>
    <row r="186" spans="1:1">
      <c r="A186" s="31"/>
    </row>
    <row r="187" spans="1:1">
      <c r="A187" s="31"/>
    </row>
    <row r="188" spans="1:1">
      <c r="A188" s="31"/>
    </row>
    <row r="189" spans="1:1">
      <c r="A189" s="31"/>
    </row>
    <row r="190" spans="1:1">
      <c r="A190" s="31"/>
    </row>
    <row r="191" spans="1:1">
      <c r="A191" s="31"/>
    </row>
    <row r="192" spans="1:1">
      <c r="A192" s="31"/>
    </row>
    <row r="193" spans="1:1">
      <c r="A193" s="31"/>
    </row>
    <row r="194" spans="1:1">
      <c r="A194" s="31"/>
    </row>
    <row r="195" spans="1:1">
      <c r="A195" s="31"/>
    </row>
    <row r="196" spans="1:1">
      <c r="A196" s="31"/>
    </row>
    <row r="197" spans="1:1">
      <c r="A197" s="31"/>
    </row>
    <row r="198" spans="1:1">
      <c r="A198" s="31"/>
    </row>
    <row r="199" spans="1:1">
      <c r="A199" s="31"/>
    </row>
    <row r="200" spans="1:1">
      <c r="A200" s="31"/>
    </row>
    <row r="201" spans="1:1">
      <c r="A201" s="31"/>
    </row>
    <row r="202" spans="1:1">
      <c r="A202" s="31"/>
    </row>
    <row r="203" spans="1:1">
      <c r="A203" s="31"/>
    </row>
    <row r="204" spans="1:1">
      <c r="A204" s="31"/>
    </row>
    <row r="205" spans="1:1">
      <c r="A205" s="31"/>
    </row>
    <row r="206" spans="1:1">
      <c r="A206" s="31"/>
    </row>
    <row r="207" spans="1:1">
      <c r="A207" s="31"/>
    </row>
    <row r="208" spans="1:1">
      <c r="A208" s="31"/>
    </row>
    <row r="209" spans="1:1">
      <c r="A209" s="31"/>
    </row>
    <row r="210" spans="1:1">
      <c r="A210" s="31"/>
    </row>
    <row r="211" spans="1:1">
      <c r="A211" s="31"/>
    </row>
    <row r="212" spans="1:1">
      <c r="A212" s="31"/>
    </row>
    <row r="213" spans="1:1">
      <c r="A213" s="31"/>
    </row>
    <row r="214" spans="1:1">
      <c r="A214" s="31"/>
    </row>
    <row r="215" spans="1:1">
      <c r="A215" s="3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总表</vt:lpstr>
      <vt:lpstr>螺纹钢</vt:lpstr>
      <vt:lpstr>PTA</vt:lpstr>
      <vt:lpstr>甲醇</vt:lpstr>
      <vt:lpstr>棉花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2017-02-07T05:16:53Z</dcterms:modified>
</cp:coreProperties>
</file>